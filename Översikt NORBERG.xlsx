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46294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46294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46294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46294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46294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46294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46294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46294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46294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46294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46294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46294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46294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46294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46294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46294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46294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46294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46294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46294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52063-2022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44873</v>
      </c>
      <c r="E23" s="1" t="n">
        <v>46294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52063-2022 artfynd.xlsx", "A 52063-2022")</f>
        <v/>
      </c>
      <c r="X23">
        <f>HYPERLINK("https://klasma.github.io/Logging_1962/kartor/A 52063-2022 karta.png", "A 52063-2022")</f>
        <v/>
      </c>
      <c r="Y23">
        <f>HYPERLINK("https://klasma.github.io/Logging_1962/kartor_geotiff/A 52063-2022 georefererad karta.tif", "A 52063-2022")</f>
        <v/>
      </c>
      <c r="AA23">
        <f>HYPERLINK("https://klasma.github.io/Logging_1962/klagomål/A 52063-2022 FSC-klagomål.docx", "A 52063-2022")</f>
        <v/>
      </c>
      <c r="AB23">
        <f>HYPERLINK("https://klasma.github.io/Logging_1962/klagomålsmail/A 52063-2022 FSC-klagomål mail.docx", "A 52063-2022")</f>
        <v/>
      </c>
      <c r="AC23">
        <f>HYPERLINK("https://klasma.github.io/Logging_1962/tillsyn/A 52063-2022 tillsynsbegäran.docx", "A 52063-2022")</f>
        <v/>
      </c>
      <c r="AD23">
        <f>HYPERLINK("https://klasma.github.io/Logging_1962/tillsynsmail/A 52063-2022 tillsynsbegäran mail.docx", "A 52063-2022")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46294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46294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46294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38927-2026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46294</v>
      </c>
      <c r="F27" t="inlineStr">
        <is>
          <t>VÄSTMANLANDS LÄN</t>
        </is>
      </c>
      <c r="G27" t="inlineStr">
        <is>
          <t>NORBERG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HYPERLINK("https://klasma.github.io/Logging_1962/artfynd/A 38927-2026 artfynd.xlsx", "A 38927-2026")</f>
        <v/>
      </c>
      <c r="X27">
        <f>HYPERLINK("https://klasma.github.io/Logging_1962/kartor/A 38927-2026 karta.png", "A 38927-2026")</f>
        <v/>
      </c>
      <c r="Y27">
        <f>HYPERLINK("https://klasma.github.io/Logging_1962/kartor_geotiff/A 38927-2026 georefererad karta.tif", "A 38927-2026")</f>
        <v/>
      </c>
      <c r="AA27">
        <f>HYPERLINK("https://klasma.github.io/Logging_1962/klagomål/A 38927-2026 FSC-klagomål.docx", "A 38927-2026")</f>
        <v/>
      </c>
      <c r="AB27">
        <f>HYPERLINK("https://klasma.github.io/Logging_1962/klagomålsmail/A 38927-2026 FSC-klagomål mail.docx", "A 38927-2026")</f>
        <v/>
      </c>
      <c r="AC27">
        <f>HYPERLINK("https://klasma.github.io/Logging_1962/tillsyn/A 38927-2026 tillsynsbegäran.docx", "A 38927-2026")</f>
        <v/>
      </c>
      <c r="AD27">
        <f>HYPERLINK("https://klasma.github.io/Logging_1962/tillsynsmail/A 38927-2026 tillsynsbegäran mail.docx", "A 38927-2026")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46294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46294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46294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46294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46294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46294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46294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46294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46294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46294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46294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46294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46294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46294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46294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46294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46294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46294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46294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46294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46294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46294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46294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46006</v>
      </c>
      <c r="E51" s="1" t="n">
        <v>46294</v>
      </c>
      <c r="F51" t="inlineStr">
        <is>
          <t>VÄSTMANLANDS LÄN</t>
        </is>
      </c>
      <c r="G51" t="inlineStr">
        <is>
          <t>NORBERG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46294</v>
      </c>
      <c r="F52" t="inlineStr">
        <is>
          <t>VÄSTMANLANDS LÄN</t>
        </is>
      </c>
      <c r="G52" t="inlineStr">
        <is>
          <t>NORBERG</t>
        </is>
      </c>
      <c r="H52" t="inlineStr">
        <is>
          <t>Övriga Aktiebolag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46294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62882-2025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46294</v>
      </c>
      <c r="F54" t="inlineStr">
        <is>
          <t>VÄSTMANLANDS LÄN</t>
        </is>
      </c>
      <c r="G54" t="inlineStr">
        <is>
          <t>NORBERG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46294</v>
      </c>
      <c r="F55" t="inlineStr">
        <is>
          <t>VÄSTMANLANDS LÄN</t>
        </is>
      </c>
      <c r="G55" t="inlineStr">
        <is>
          <t>NORBERG</t>
        </is>
      </c>
      <c r="H55" t="inlineStr">
        <is>
          <t>Övriga Aktiebolag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45363</v>
      </c>
      <c r="E56" s="1" t="n">
        <v>46294</v>
      </c>
      <c r="F56" t="inlineStr">
        <is>
          <t>VÄSTMANLANDS LÄN</t>
        </is>
      </c>
      <c r="G56" t="inlineStr">
        <is>
          <t>NORBERG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46294</v>
      </c>
      <c r="F57" t="inlineStr">
        <is>
          <t>VÄSTMANLANDS LÄN</t>
        </is>
      </c>
      <c r="G57" t="inlineStr">
        <is>
          <t>NORBERG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37200-2023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46294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45154</v>
      </c>
      <c r="E59" s="1" t="n">
        <v>46294</v>
      </c>
      <c r="F59" t="inlineStr">
        <is>
          <t>VÄSTMANLANDS LÄN</t>
        </is>
      </c>
      <c r="G59" t="inlineStr">
        <is>
          <t>NORBERG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45226</v>
      </c>
      <c r="E60" s="1" t="n">
        <v>46294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46294</v>
      </c>
      <c r="F61" t="inlineStr">
        <is>
          <t>VÄSTMANLANDS LÄN</t>
        </is>
      </c>
      <c r="G61" t="inlineStr">
        <is>
          <t>NORBERG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45200</v>
      </c>
      <c r="E62" s="1" t="n">
        <v>46294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45567</v>
      </c>
      <c r="E63" s="1" t="n">
        <v>46294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46294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46294</v>
      </c>
      <c r="F65" t="inlineStr">
        <is>
          <t>VÄSTMANLANDS LÄN</t>
        </is>
      </c>
      <c r="G65" t="inlineStr">
        <is>
          <t>NORBERG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46294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46014</v>
      </c>
      <c r="E67" s="1" t="n">
        <v>46294</v>
      </c>
      <c r="F67" t="inlineStr">
        <is>
          <t>VÄSTMANLANDS LÄN</t>
        </is>
      </c>
      <c r="G67" t="inlineStr">
        <is>
          <t>NORBERG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46014</v>
      </c>
      <c r="E68" s="1" t="n">
        <v>46294</v>
      </c>
      <c r="F68" t="inlineStr">
        <is>
          <t>VÄSTMANLANDS LÄN</t>
        </is>
      </c>
      <c r="G68" t="inlineStr">
        <is>
          <t>NORBERG</t>
        </is>
      </c>
      <c r="I68" t="n">
        <v>22.8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46294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46294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46294</v>
      </c>
      <c r="F71" t="inlineStr">
        <is>
          <t>VÄSTMANLANDS LÄN</t>
        </is>
      </c>
      <c r="G71" t="inlineStr">
        <is>
          <t>NORBERG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46020</v>
      </c>
      <c r="E72" s="1" t="n">
        <v>46294</v>
      </c>
      <c r="F72" t="inlineStr">
        <is>
          <t>VÄSTMANLANDS LÄN</t>
        </is>
      </c>
      <c r="G72" t="inlineStr">
        <is>
          <t>NORBERG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46294</v>
      </c>
      <c r="F73" t="inlineStr">
        <is>
          <t>VÄSTMANLANDS LÄN</t>
        </is>
      </c>
      <c r="G73" t="inlineStr">
        <is>
          <t>NORBERG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46294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45966</v>
      </c>
      <c r="E75" s="1" t="n">
        <v>46294</v>
      </c>
      <c r="F75" t="inlineStr">
        <is>
          <t>VÄSTMANLANDS LÄN</t>
        </is>
      </c>
      <c r="G75" t="inlineStr">
        <is>
          <t>NORBERG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46294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15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45179</v>
      </c>
      <c r="E77" s="1" t="n">
        <v>46294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46294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44691</v>
      </c>
      <c r="E79" s="1" t="n">
        <v>46294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46294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46294</v>
      </c>
      <c r="F81" t="inlineStr">
        <is>
          <t>VÄSTMANLANDS LÄN</t>
        </is>
      </c>
      <c r="G81" t="inlineStr">
        <is>
          <t>NORBERG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45001</v>
      </c>
      <c r="E82" s="1" t="n">
        <v>46294</v>
      </c>
      <c r="F82" t="inlineStr">
        <is>
          <t>VÄSTMANLANDS LÄN</t>
        </is>
      </c>
      <c r="G82" t="inlineStr">
        <is>
          <t>NORBERG</t>
        </is>
      </c>
      <c r="I82" t="n">
        <v>22.4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46294</v>
      </c>
      <c r="F83" t="inlineStr">
        <is>
          <t>VÄSTMANLANDS LÄN</t>
        </is>
      </c>
      <c r="G83" t="inlineStr">
        <is>
          <t>NORBERG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46294</v>
      </c>
      <c r="F84" t="inlineStr">
        <is>
          <t>VÄSTMANLANDS LÄN</t>
        </is>
      </c>
      <c r="G84" t="inlineStr">
        <is>
          <t>NORBERG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46294</v>
      </c>
      <c r="F85" t="inlineStr">
        <is>
          <t>VÄSTMANLANDS LÄN</t>
        </is>
      </c>
      <c r="G85" t="inlineStr">
        <is>
          <t>NORBERG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45729</v>
      </c>
      <c r="E86" s="1" t="n">
        <v>46294</v>
      </c>
      <c r="F86" t="inlineStr">
        <is>
          <t>VÄSTMANLANDS LÄN</t>
        </is>
      </c>
      <c r="G86" t="inlineStr">
        <is>
          <t>NORBERG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45405</v>
      </c>
      <c r="E87" s="1" t="n">
        <v>46294</v>
      </c>
      <c r="F87" t="inlineStr">
        <is>
          <t>VÄSTMANLANDS LÄN</t>
        </is>
      </c>
      <c r="G87" t="inlineStr">
        <is>
          <t>NORBERG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19173-2025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46294</v>
      </c>
      <c r="F88" t="inlineStr">
        <is>
          <t>VÄSTMANLANDS LÄN</t>
        </is>
      </c>
      <c r="G88" t="inlineStr">
        <is>
          <t>NORBERG</t>
        </is>
      </c>
      <c r="H88" t="inlineStr">
        <is>
          <t>Övriga Aktiebolag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46294</v>
      </c>
      <c r="F89" t="inlineStr">
        <is>
          <t>VÄSTMANLANDS LÄN</t>
        </is>
      </c>
      <c r="G89" t="inlineStr">
        <is>
          <t>NORBERG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60339-2025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45994</v>
      </c>
      <c r="E90" s="1" t="n">
        <v>46294</v>
      </c>
      <c r="F90" t="inlineStr">
        <is>
          <t>VÄSTMANLANDS LÄN</t>
        </is>
      </c>
      <c r="G90" t="inlineStr">
        <is>
          <t>NORBERG</t>
        </is>
      </c>
      <c r="H90" t="inlineStr">
        <is>
          <t>Kommuner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46294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45679</v>
      </c>
      <c r="E92" s="1" t="n">
        <v>46294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46294</v>
      </c>
      <c r="F93" t="inlineStr">
        <is>
          <t>VÄSTMANLANDS LÄN</t>
        </is>
      </c>
      <c r="G93" t="inlineStr">
        <is>
          <t>NORBERG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46294</v>
      </c>
      <c r="F94" t="inlineStr">
        <is>
          <t>VÄSTMANLANDS LÄN</t>
        </is>
      </c>
      <c r="G94" t="inlineStr">
        <is>
          <t>NORBERG</t>
        </is>
      </c>
      <c r="I94" t="n">
        <v>8.300000000000001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46294</v>
      </c>
      <c r="F95" t="inlineStr">
        <is>
          <t>VÄSTMANLANDS LÄN</t>
        </is>
      </c>
      <c r="G95" t="inlineStr">
        <is>
          <t>NORBERG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46294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13465-2026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46294</v>
      </c>
      <c r="F97" t="inlineStr">
        <is>
          <t>VÄSTMANLANDS LÄN</t>
        </is>
      </c>
      <c r="G97" t="inlineStr">
        <is>
          <t>NORBERG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46099</v>
      </c>
      <c r="E98" s="1" t="n">
        <v>46294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46294</v>
      </c>
      <c r="F99" t="inlineStr">
        <is>
          <t>VÄSTMANLANDS LÄN</t>
        </is>
      </c>
      <c r="G99" t="inlineStr">
        <is>
          <t>NORBERG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46105</v>
      </c>
      <c r="E100" s="1" t="n">
        <v>46294</v>
      </c>
      <c r="F100" t="inlineStr">
        <is>
          <t>VÄSTMANLANDS LÄN</t>
        </is>
      </c>
      <c r="G100" t="inlineStr">
        <is>
          <t>NORBERG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46105</v>
      </c>
      <c r="E101" s="1" t="n">
        <v>46294</v>
      </c>
      <c r="F101" t="inlineStr">
        <is>
          <t>VÄSTMANLANDS LÄN</t>
        </is>
      </c>
      <c r="G101" t="inlineStr">
        <is>
          <t>NORBERG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46294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15981-2026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46108</v>
      </c>
      <c r="E103" s="1" t="n">
        <v>46294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16383-2026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46294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46114</v>
      </c>
      <c r="E105" s="1" t="n">
        <v>46294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46113</v>
      </c>
      <c r="E106" s="1" t="n">
        <v>46294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46294</v>
      </c>
      <c r="F107" t="inlineStr">
        <is>
          <t>VÄSTMANLANDS LÄN</t>
        </is>
      </c>
      <c r="G107" t="inlineStr">
        <is>
          <t>NORBERG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46294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45537</v>
      </c>
      <c r="E109" s="1" t="n">
        <v>46294</v>
      </c>
      <c r="F109" t="inlineStr">
        <is>
          <t>VÄSTMANLANDS LÄN</t>
        </is>
      </c>
      <c r="G109" t="inlineStr">
        <is>
          <t>NORBERG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46294</v>
      </c>
      <c r="F110" t="inlineStr">
        <is>
          <t>VÄSTMANLANDS LÄN</t>
        </is>
      </c>
      <c r="G110" t="inlineStr">
        <is>
          <t>NORBERG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45607</v>
      </c>
      <c r="E111" s="1" t="n">
        <v>46294</v>
      </c>
      <c r="F111" t="inlineStr">
        <is>
          <t>VÄSTMANLANDS LÄN</t>
        </is>
      </c>
      <c r="G111" t="inlineStr">
        <is>
          <t>NORBERG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56940-2021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44480</v>
      </c>
      <c r="E112" s="1" t="n">
        <v>46294</v>
      </c>
      <c r="F112" t="inlineStr">
        <is>
          <t>VÄSTMANLANDS LÄN</t>
        </is>
      </c>
      <c r="G112" t="inlineStr">
        <is>
          <t>NORBERG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46294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46294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46294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45598</v>
      </c>
      <c r="E116" s="1" t="n">
        <v>46294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47610-2022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46294</v>
      </c>
      <c r="F117" t="inlineStr">
        <is>
          <t>VÄSTMANLANDS LÄN</t>
        </is>
      </c>
      <c r="G117" t="inlineStr">
        <is>
          <t>NORBERG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46294</v>
      </c>
      <c r="F118" t="inlineStr">
        <is>
          <t>VÄSTMANLANDS LÄN</t>
        </is>
      </c>
      <c r="G118" t="inlineStr">
        <is>
          <t>NORBERG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3587-2024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45320</v>
      </c>
      <c r="E119" s="1" t="n">
        <v>46294</v>
      </c>
      <c r="F119" t="inlineStr">
        <is>
          <t>VÄSTMANLANDS LÄN</t>
        </is>
      </c>
      <c r="G119" t="inlineStr">
        <is>
          <t>NORBERG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45454</v>
      </c>
      <c r="E120" s="1" t="n">
        <v>46294</v>
      </c>
      <c r="F120" t="inlineStr">
        <is>
          <t>VÄSTMANLANDS LÄN</t>
        </is>
      </c>
      <c r="G120" t="inlineStr">
        <is>
          <t>NORBERG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45454</v>
      </c>
      <c r="E121" s="1" t="n">
        <v>46294</v>
      </c>
      <c r="F121" t="inlineStr">
        <is>
          <t>VÄSTMANLANDS LÄN</t>
        </is>
      </c>
      <c r="G121" t="inlineStr">
        <is>
          <t>NORBERG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20968-2026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46142</v>
      </c>
      <c r="E122" s="1" t="n">
        <v>46294</v>
      </c>
      <c r="F122" t="inlineStr">
        <is>
          <t>VÄSTMANLANDS LÄN</t>
        </is>
      </c>
      <c r="G122" t="inlineStr">
        <is>
          <t>NORBERG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19377-2025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45769</v>
      </c>
      <c r="E123" s="1" t="n">
        <v>46294</v>
      </c>
      <c r="F123" t="inlineStr">
        <is>
          <t>VÄSTMANLANDS LÄN</t>
        </is>
      </c>
      <c r="G123" t="inlineStr">
        <is>
          <t>NORBERG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46294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46294</v>
      </c>
      <c r="F125" t="inlineStr">
        <is>
          <t>VÄSTMANLANDS LÄN</t>
        </is>
      </c>
      <c r="G125" t="inlineStr">
        <is>
          <t>NORBERG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46294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46148</v>
      </c>
      <c r="E127" s="1" t="n">
        <v>46294</v>
      </c>
      <c r="F127" t="inlineStr">
        <is>
          <t>VÄSTMANLANDS LÄN</t>
        </is>
      </c>
      <c r="G127" t="inlineStr">
        <is>
          <t>NORBERG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46294</v>
      </c>
      <c r="F128" t="inlineStr">
        <is>
          <t>VÄSTMANLANDS LÄN</t>
        </is>
      </c>
      <c r="G128" t="inlineStr">
        <is>
          <t>NORBERG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46153</v>
      </c>
      <c r="E129" s="1" t="n">
        <v>46294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45056</v>
      </c>
      <c r="E130" s="1" t="n">
        <v>46294</v>
      </c>
      <c r="F130" t="inlineStr">
        <is>
          <t>VÄSTMANLANDS LÄN</t>
        </is>
      </c>
      <c r="G130" t="inlineStr">
        <is>
          <t>NORBERG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46294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20378-2023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45056</v>
      </c>
      <c r="E132" s="1" t="n">
        <v>46294</v>
      </c>
      <c r="F132" t="inlineStr">
        <is>
          <t>VÄSTMANLANDS LÄN</t>
        </is>
      </c>
      <c r="G132" t="inlineStr">
        <is>
          <t>NORBERG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46294</v>
      </c>
      <c r="F133" t="inlineStr">
        <is>
          <t>VÄSTMANLANDS LÄN</t>
        </is>
      </c>
      <c r="G133" t="inlineStr">
        <is>
          <t>NORBERG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27580-2024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46294</v>
      </c>
      <c r="F134" t="inlineStr">
        <is>
          <t>VÄSTMANLANDS LÄN</t>
        </is>
      </c>
      <c r="G134" t="inlineStr">
        <is>
          <t>NORBERG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45588</v>
      </c>
      <c r="E135" s="1" t="n">
        <v>46294</v>
      </c>
      <c r="F135" t="inlineStr">
        <is>
          <t>VÄSTMANLANDS LÄN</t>
        </is>
      </c>
      <c r="G135" t="inlineStr">
        <is>
          <t>NORBERG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56400-2025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45974</v>
      </c>
      <c r="E136" s="1" t="n">
        <v>46294</v>
      </c>
      <c r="F136" t="inlineStr">
        <is>
          <t>VÄSTMANLANDS LÄN</t>
        </is>
      </c>
      <c r="G136" t="inlineStr">
        <is>
          <t>NORBERG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46294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45034</v>
      </c>
      <c r="E138" s="1" t="n">
        <v>46294</v>
      </c>
      <c r="F138" t="inlineStr">
        <is>
          <t>VÄSTMANLANDS LÄN</t>
        </is>
      </c>
      <c r="G138" t="inlineStr">
        <is>
          <t>NORBERG</t>
        </is>
      </c>
      <c r="H138" t="inlineStr">
        <is>
          <t>Bergvik skog väst AB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46176</v>
      </c>
      <c r="E139" s="1" t="n">
        <v>46294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46294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46294</v>
      </c>
      <c r="F141" t="inlineStr">
        <is>
          <t>VÄSTMANLANDS LÄN</t>
        </is>
      </c>
      <c r="G141" t="inlineStr">
        <is>
          <t>NORBERG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45613</v>
      </c>
      <c r="E142" s="1" t="n">
        <v>46294</v>
      </c>
      <c r="F142" t="inlineStr">
        <is>
          <t>VÄSTMANLANDS LÄN</t>
        </is>
      </c>
      <c r="G142" t="inlineStr">
        <is>
          <t>NORBERG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46294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46189</v>
      </c>
      <c r="E144" s="1" t="n">
        <v>46294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46294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46294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46294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46294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46294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45200</v>
      </c>
      <c r="E150" s="1" t="n">
        <v>46294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19164-2025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46294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45089</v>
      </c>
      <c r="E152" s="1" t="n">
        <v>46294</v>
      </c>
      <c r="F152" t="inlineStr">
        <is>
          <t>VÄSTMANLANDS LÄN</t>
        </is>
      </c>
      <c r="G152" t="inlineStr">
        <is>
          <t>NORBERG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46294</v>
      </c>
      <c r="F153" t="inlineStr">
        <is>
          <t>VÄSTMANLANDS LÄN</t>
        </is>
      </c>
      <c r="G153" t="inlineStr">
        <is>
          <t>NORBERG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46294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46294</v>
      </c>
      <c r="F155" t="inlineStr">
        <is>
          <t>VÄSTMANLANDS LÄN</t>
        </is>
      </c>
      <c r="G155" t="inlineStr">
        <is>
          <t>NORBERG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46294</v>
      </c>
      <c r="F156" t="inlineStr">
        <is>
          <t>VÄSTMANLANDS LÄN</t>
        </is>
      </c>
      <c r="G156" t="inlineStr">
        <is>
          <t>NORBERG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45049</v>
      </c>
      <c r="E157" s="1" t="n">
        <v>46294</v>
      </c>
      <c r="F157" t="inlineStr">
        <is>
          <t>VÄSTMANLANDS LÄN</t>
        </is>
      </c>
      <c r="G157" t="inlineStr">
        <is>
          <t>NORBERG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67356-2021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44523</v>
      </c>
      <c r="E158" s="1" t="n">
        <v>46294</v>
      </c>
      <c r="F158" t="inlineStr">
        <is>
          <t>VÄSTMANLANDS LÄN</t>
        </is>
      </c>
      <c r="G158" t="inlineStr">
        <is>
          <t>NORBERG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46294</v>
      </c>
      <c r="F159" t="inlineStr">
        <is>
          <t>VÄSTMANLANDS LÄN</t>
        </is>
      </c>
      <c r="G159" t="inlineStr">
        <is>
          <t>NORBERG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46294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46294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46265</v>
      </c>
      <c r="E162" s="1" t="n">
        <v>46294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45121</v>
      </c>
      <c r="E163" s="1" t="n">
        <v>46294</v>
      </c>
      <c r="F163" t="inlineStr">
        <is>
          <t>VÄSTMANLANDS LÄN</t>
        </is>
      </c>
      <c r="G163" t="inlineStr">
        <is>
          <t>NORBERG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46265</v>
      </c>
      <c r="E164" s="1" t="n">
        <v>46294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46294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46223</v>
      </c>
      <c r="E166" s="1" t="n">
        <v>46294</v>
      </c>
      <c r="F166" t="inlineStr">
        <is>
          <t>VÄSTMANLANDS LÄN</t>
        </is>
      </c>
      <c r="G166" t="inlineStr">
        <is>
          <t>NORBERG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46294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46294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46294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46294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46294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46294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46294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46253</v>
      </c>
      <c r="E174" s="1" t="n">
        <v>46294</v>
      </c>
      <c r="F174" t="inlineStr">
        <is>
          <t>VÄSTMANLANDS LÄN</t>
        </is>
      </c>
      <c r="G174" t="inlineStr">
        <is>
          <t>NORBERG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46294</v>
      </c>
      <c r="F175" t="inlineStr">
        <is>
          <t>VÄSTMANLANDS LÄN</t>
        </is>
      </c>
      <c r="G175" t="inlineStr">
        <is>
          <t>NORBERG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46232</v>
      </c>
      <c r="E176" s="1" t="n">
        <v>46294</v>
      </c>
      <c r="F176" t="inlineStr">
        <is>
          <t>VÄSTMANLANDS LÄN</t>
        </is>
      </c>
      <c r="G176" t="inlineStr">
        <is>
          <t>NORBERG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46294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46294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31967-2026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46232</v>
      </c>
      <c r="E179" s="1" t="n">
        <v>46294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46294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46233</v>
      </c>
      <c r="E181" s="1" t="n">
        <v>46294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45440</v>
      </c>
      <c r="E182" s="1" t="n">
        <v>46294</v>
      </c>
      <c r="F182" t="inlineStr">
        <is>
          <t>VÄSTMANLANDS LÄN</t>
        </is>
      </c>
      <c r="G182" t="inlineStr">
        <is>
          <t>NORBERG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46238</v>
      </c>
      <c r="E183" s="1" t="n">
        <v>46294</v>
      </c>
      <c r="F183" t="inlineStr">
        <is>
          <t>VÄSTMANLANDS LÄN</t>
        </is>
      </c>
      <c r="G183" t="inlineStr">
        <is>
          <t>NORBERG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46294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46294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46294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46294</v>
      </c>
      <c r="F187" t="inlineStr">
        <is>
          <t>VÄSTMANLANDS LÄN</t>
        </is>
      </c>
      <c r="G187" t="inlineStr">
        <is>
          <t>NORBERG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45586</v>
      </c>
      <c r="E188" s="1" t="n">
        <v>46294</v>
      </c>
      <c r="F188" t="inlineStr">
        <is>
          <t>VÄSTMANLANDS LÄN</t>
        </is>
      </c>
      <c r="G188" t="inlineStr">
        <is>
          <t>NORBERG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46266</v>
      </c>
      <c r="E189" s="1" t="n">
        <v>46294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46247</v>
      </c>
      <c r="E190" s="1" t="n">
        <v>46294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46294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46294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46294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2026-09-29T01:56:15Z</dcterms:created>
  <dcterms:modified xmlns:dcterms="http://purl.org/dc/terms/" xmlns:xsi="http://www.w3.org/2001/XMLSchema-instance" xsi:type="dcterms:W3CDTF">2026-09-29T01:56:15Z</dcterms:modified>
</cp:coreProperties>
</file>