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46271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46271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46271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46271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46271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46271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46271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46271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46271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46271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46271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46271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46271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46271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46271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46271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20407-2026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46139</v>
      </c>
      <c r="E21" s="1" t="n">
        <v>46271</v>
      </c>
      <c r="F21" t="inlineStr">
        <is>
          <t>VÄSTMANLANDS LÄN</t>
        </is>
      </c>
      <c r="G21" t="inlineStr">
        <is>
          <t>NORBERG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HYPERLINK("https://klasma.github.io/Logging_1962/artfynd/A 20407-2026 artfynd.xlsx", "A 20407-2026")</f>
        <v/>
      </c>
      <c r="X21">
        <f>HYPERLINK("https://klasma.github.io/Logging_1962/kartor/A 20407-2026 karta.png", "A 20407-2026")</f>
        <v/>
      </c>
      <c r="Y21">
        <f>HYPERLINK("https://klasma.github.io/Logging_1962/kartor_geotiff/A 20407-2026 georefererad karta.tif", "A 20407-2026")</f>
        <v/>
      </c>
      <c r="AA21">
        <f>HYPERLINK("https://klasma.github.io/Logging_1962/klagomål/A 20407-2026 FSC-klagomål.docx", "A 20407-2026")</f>
        <v/>
      </c>
      <c r="AB21">
        <f>HYPERLINK("https://klasma.github.io/Logging_1962/klagomålsmail/A 20407-2026 FSC-klagomål mail.docx", "A 20407-2026")</f>
        <v/>
      </c>
      <c r="AC21">
        <f>HYPERLINK("https://klasma.github.io/Logging_1962/tillsyn/A 20407-2026 tillsynsbegäran.docx", "A 20407-2026")</f>
        <v/>
      </c>
      <c r="AD21">
        <f>HYPERLINK("https://klasma.github.io/Logging_1962/tillsynsmail/A 20407-2026 tillsynsbegäran mail.docx", "A 20407-2026")</f>
        <v/>
      </c>
      <c r="AE21">
        <f>HYPERLINK("https://klasma.github.io/Logging_1962/fåglar/A 20407-2026 prioriterade fågelarter.docx", "A 20407-2026")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46271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28307-2026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46196</v>
      </c>
      <c r="E23" s="1" t="n">
        <v>46271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HYPERLINK("https://klasma.github.io/Logging_1962/artfynd/A 28307-2026 artfynd.xlsx", "A 28307-2026")</f>
        <v/>
      </c>
      <c r="X23">
        <f>HYPERLINK("https://klasma.github.io/Logging_1962/kartor/A 28307-2026 karta.png", "A 28307-2026")</f>
        <v/>
      </c>
      <c r="Y23">
        <f>HYPERLINK("https://klasma.github.io/Logging_1962/kartor_geotiff/A 28307-2026 georefererad karta.tif", "A 28307-2026")</f>
        <v/>
      </c>
      <c r="AA23">
        <f>HYPERLINK("https://klasma.github.io/Logging_1962/klagomål/A 28307-2026 FSC-klagomål.docx", "A 28307-2026")</f>
        <v/>
      </c>
      <c r="AB23">
        <f>HYPERLINK("https://klasma.github.io/Logging_1962/klagomålsmail/A 28307-2026 FSC-klagomål mail.docx", "A 28307-2026")</f>
        <v/>
      </c>
      <c r="AC23">
        <f>HYPERLINK("https://klasma.github.io/Logging_1962/tillsyn/A 28307-2026 tillsynsbegäran.docx", "A 28307-2026")</f>
        <v/>
      </c>
      <c r="AD23">
        <f>HYPERLINK("https://klasma.github.io/Logging_1962/tillsynsmail/A 28307-2026 tillsynsbegäran mail.docx", "A 28307-2026")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46271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46271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36383-2026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46268</v>
      </c>
      <c r="E26" s="1" t="n">
        <v>46271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36383-2026 artfynd.xlsx", "A 36383-2026")</f>
        <v/>
      </c>
      <c r="X26">
        <f>HYPERLINK("https://klasma.github.io/Logging_1962/kartor/A 36383-2026 karta.png", "A 36383-2026")</f>
        <v/>
      </c>
      <c r="Y26">
        <f>HYPERLINK("https://klasma.github.io/Logging_1962/kartor_geotiff/A 36383-2026 georefererad karta.tif", "A 36383-2026")</f>
        <v/>
      </c>
      <c r="AA26">
        <f>HYPERLINK("https://klasma.github.io/Logging_1962/klagomål/A 36383-2026 FSC-klagomål.docx", "A 36383-2026")</f>
        <v/>
      </c>
      <c r="AB26">
        <f>HYPERLINK("https://klasma.github.io/Logging_1962/klagomålsmail/A 36383-2026 FSC-klagomål mail.docx", "A 36383-2026")</f>
        <v/>
      </c>
      <c r="AC26">
        <f>HYPERLINK("https://klasma.github.io/Logging_1962/tillsyn/A 36383-2026 tillsynsbegäran.docx", "A 36383-2026")</f>
        <v/>
      </c>
      <c r="AD26">
        <f>HYPERLINK("https://klasma.github.io/Logging_1962/tillsynsmail/A 36383-2026 tillsynsbegäran mail.docx", "A 36383-2026")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46271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46271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46271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46271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46271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46271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46271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46271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46271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46271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46271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46271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46271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46271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46271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46271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46271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46271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46271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46271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46271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46271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73797-2021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44552</v>
      </c>
      <c r="E51" s="1" t="n">
        <v>46271</v>
      </c>
      <c r="F51" t="inlineStr">
        <is>
          <t>VÄSTMANLANDS LÄN</t>
        </is>
      </c>
      <c r="G51" t="inlineStr">
        <is>
          <t>NORBERG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46271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46271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46271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37200-2023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46271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46271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46271</v>
      </c>
      <c r="F57" t="inlineStr">
        <is>
          <t>VÄSTMANLANDS LÄN</t>
        </is>
      </c>
      <c r="G57" t="inlineStr">
        <is>
          <t>NORBERG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46271</v>
      </c>
      <c r="F58" t="inlineStr">
        <is>
          <t>VÄSTMANLANDS LÄN</t>
        </is>
      </c>
      <c r="G58" t="inlineStr">
        <is>
          <t>NORBERG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45154</v>
      </c>
      <c r="E59" s="1" t="n">
        <v>46271</v>
      </c>
      <c r="F59" t="inlineStr">
        <is>
          <t>VÄSTMANLANDS LÄN</t>
        </is>
      </c>
      <c r="G59" t="inlineStr">
        <is>
          <t>NORBERG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46020</v>
      </c>
      <c r="E60" s="1" t="n">
        <v>46271</v>
      </c>
      <c r="F60" t="inlineStr">
        <is>
          <t>VÄSTMANLANDS LÄN</t>
        </is>
      </c>
      <c r="G60" t="inlineStr">
        <is>
          <t>NORBERG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46271</v>
      </c>
      <c r="F61" t="inlineStr">
        <is>
          <t>VÄSTMANLANDS LÄN</t>
        </is>
      </c>
      <c r="G61" t="inlineStr">
        <is>
          <t>NORBERG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46271</v>
      </c>
      <c r="F62" t="inlineStr">
        <is>
          <t>VÄSTMANLANDS LÄN</t>
        </is>
      </c>
      <c r="G62" t="inlineStr">
        <is>
          <t>NORBERG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46271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45316</v>
      </c>
      <c r="E64" s="1" t="n">
        <v>46271</v>
      </c>
      <c r="F64" t="inlineStr">
        <is>
          <t>VÄSTMANLANDS LÄN</t>
        </is>
      </c>
      <c r="G64" t="inlineStr">
        <is>
          <t>NORBERG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46271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63505-2023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45274</v>
      </c>
      <c r="E66" s="1" t="n">
        <v>46271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45179</v>
      </c>
      <c r="E67" s="1" t="n">
        <v>46271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46271</v>
      </c>
      <c r="F68" t="inlineStr">
        <is>
          <t>VÄSTMANLANDS LÄN</t>
        </is>
      </c>
      <c r="G68" t="inlineStr">
        <is>
          <t>NORBERG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46271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45001</v>
      </c>
      <c r="E70" s="1" t="n">
        <v>46271</v>
      </c>
      <c r="F70" t="inlineStr">
        <is>
          <t>VÄSTMANLANDS LÄN</t>
        </is>
      </c>
      <c r="G70" t="inlineStr">
        <is>
          <t>NORBERG</t>
        </is>
      </c>
      <c r="I70" t="n">
        <v>22.4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46271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44628</v>
      </c>
      <c r="E72" s="1" t="n">
        <v>46271</v>
      </c>
      <c r="F72" t="inlineStr">
        <is>
          <t>VÄSTMANLANDS LÄN</t>
        </is>
      </c>
      <c r="G72" t="inlineStr">
        <is>
          <t>NORBERG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46271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46271</v>
      </c>
      <c r="F74" t="inlineStr">
        <is>
          <t>VÄSTMANLANDS LÄN</t>
        </is>
      </c>
      <c r="G74" t="inlineStr">
        <is>
          <t>NORBERG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46271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46271</v>
      </c>
      <c r="F76" t="inlineStr">
        <is>
          <t>VÄSTMANLANDS LÄN</t>
        </is>
      </c>
      <c r="G76" t="inlineStr">
        <is>
          <t>NORBERG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46271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46271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15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46271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46271</v>
      </c>
      <c r="F80" t="inlineStr">
        <is>
          <t>VÄSTMANLANDS LÄN</t>
        </is>
      </c>
      <c r="G80" t="inlineStr">
        <is>
          <t>NORBERG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46271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45966</v>
      </c>
      <c r="E82" s="1" t="n">
        <v>46271</v>
      </c>
      <c r="F82" t="inlineStr">
        <is>
          <t>VÄSTMANLANDS LÄN</t>
        </is>
      </c>
      <c r="G82" t="inlineStr">
        <is>
          <t>NORBERG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46271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60339-2025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45994</v>
      </c>
      <c r="E84" s="1" t="n">
        <v>46271</v>
      </c>
      <c r="F84" t="inlineStr">
        <is>
          <t>VÄSTMANLANDS LÄN</t>
        </is>
      </c>
      <c r="G84" t="inlineStr">
        <is>
          <t>NORBERG</t>
        </is>
      </c>
      <c r="H84" t="inlineStr">
        <is>
          <t>Kommuner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46271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46271</v>
      </c>
      <c r="F86" t="inlineStr">
        <is>
          <t>VÄSTMANLANDS LÄN</t>
        </is>
      </c>
      <c r="G86" t="inlineStr">
        <is>
          <t>NORBERG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46271</v>
      </c>
      <c r="F87" t="inlineStr">
        <is>
          <t>VÄSTMANLANDS LÄN</t>
        </is>
      </c>
      <c r="G87" t="inlineStr">
        <is>
          <t>NORBERG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46271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45989</v>
      </c>
      <c r="E89" s="1" t="n">
        <v>46271</v>
      </c>
      <c r="F89" t="inlineStr">
        <is>
          <t>VÄSTMANLANDS LÄN</t>
        </is>
      </c>
      <c r="G89" t="inlineStr">
        <is>
          <t>NORBERG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46271</v>
      </c>
      <c r="F90" t="inlineStr">
        <is>
          <t>VÄSTMANLANDS LÄN</t>
        </is>
      </c>
      <c r="G90" t="inlineStr">
        <is>
          <t>NORBERG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46271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46271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46271</v>
      </c>
      <c r="F93" t="inlineStr">
        <is>
          <t>VÄSTMANLANDS LÄN</t>
        </is>
      </c>
      <c r="G93" t="inlineStr">
        <is>
          <t>NORBERG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46271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46271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46271</v>
      </c>
      <c r="F96" t="inlineStr">
        <is>
          <t>VÄSTMANLANDS LÄN</t>
        </is>
      </c>
      <c r="G96" t="inlineStr">
        <is>
          <t>NORBERG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46271</v>
      </c>
      <c r="F97" t="inlineStr">
        <is>
          <t>VÄSTMANLANDS LÄN</t>
        </is>
      </c>
      <c r="G97" t="inlineStr">
        <is>
          <t>NORBERG</t>
        </is>
      </c>
      <c r="I97" t="n">
        <v>22.8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46271</v>
      </c>
      <c r="F98" t="inlineStr">
        <is>
          <t>VÄSTMANLANDS LÄN</t>
        </is>
      </c>
      <c r="G98" t="inlineStr">
        <is>
          <t>NORBERG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46271</v>
      </c>
      <c r="F99" t="inlineStr">
        <is>
          <t>VÄSTMANLANDS LÄN</t>
        </is>
      </c>
      <c r="G99" t="inlineStr">
        <is>
          <t>NORBERG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46271</v>
      </c>
      <c r="F100" t="inlineStr">
        <is>
          <t>VÄSTMANLANDS LÄN</t>
        </is>
      </c>
      <c r="G100" t="inlineStr">
        <is>
          <t>NORBERG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46271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45607</v>
      </c>
      <c r="E102" s="1" t="n">
        <v>46271</v>
      </c>
      <c r="F102" t="inlineStr">
        <is>
          <t>VÄSTMANLANDS LÄN</t>
        </is>
      </c>
      <c r="G102" t="inlineStr">
        <is>
          <t>NORBERG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46271</v>
      </c>
      <c r="F103" t="inlineStr">
        <is>
          <t>VÄSTMANLANDS LÄN</t>
        </is>
      </c>
      <c r="G103" t="inlineStr">
        <is>
          <t>NORBERG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46271</v>
      </c>
      <c r="F104" t="inlineStr">
        <is>
          <t>VÄSTMANLANDS LÄN</t>
        </is>
      </c>
      <c r="G104" t="inlineStr">
        <is>
          <t>NORBERG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46271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46271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18960-2025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46271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46271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46114</v>
      </c>
      <c r="E109" s="1" t="n">
        <v>46271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46271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46271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46271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46271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45320</v>
      </c>
      <c r="E114" s="1" t="n">
        <v>46271</v>
      </c>
      <c r="F114" t="inlineStr">
        <is>
          <t>VÄSTMANLANDS LÄN</t>
        </is>
      </c>
      <c r="G114" t="inlineStr">
        <is>
          <t>NORBERG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46271</v>
      </c>
      <c r="F115" t="inlineStr">
        <is>
          <t>VÄSTMANLANDS LÄN</t>
        </is>
      </c>
      <c r="G115" t="inlineStr">
        <is>
          <t>NORBERG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46271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19377-2025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46271</v>
      </c>
      <c r="F117" t="inlineStr">
        <is>
          <t>VÄSTMANLANDS LÄN</t>
        </is>
      </c>
      <c r="G117" t="inlineStr">
        <is>
          <t>NORBERG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56940-2021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44480</v>
      </c>
      <c r="E118" s="1" t="n">
        <v>46271</v>
      </c>
      <c r="F118" t="inlineStr">
        <is>
          <t>VÄSTMANLANDS LÄN</t>
        </is>
      </c>
      <c r="G118" t="inlineStr">
        <is>
          <t>NORBERG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46271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46271</v>
      </c>
      <c r="F120" t="inlineStr">
        <is>
          <t>VÄSTMANLANDS LÄN</t>
        </is>
      </c>
      <c r="G120" t="inlineStr">
        <is>
          <t>NORBERG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46271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45056</v>
      </c>
      <c r="E122" s="1" t="n">
        <v>46271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46271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45598</v>
      </c>
      <c r="E124" s="1" t="n">
        <v>46271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20378-2023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45056</v>
      </c>
      <c r="E125" s="1" t="n">
        <v>46271</v>
      </c>
      <c r="F125" t="inlineStr">
        <is>
          <t>VÄSTMANLANDS LÄN</t>
        </is>
      </c>
      <c r="G125" t="inlineStr">
        <is>
          <t>NORBERG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46271</v>
      </c>
      <c r="F126" t="inlineStr">
        <is>
          <t>VÄSTMANLANDS LÄN</t>
        </is>
      </c>
      <c r="G126" t="inlineStr">
        <is>
          <t>NORBERG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46271</v>
      </c>
      <c r="F127" t="inlineStr">
        <is>
          <t>VÄSTMANLANDS LÄN</t>
        </is>
      </c>
      <c r="G127" t="inlineStr">
        <is>
          <t>NORBERG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46271</v>
      </c>
      <c r="F128" t="inlineStr">
        <is>
          <t>VÄSTMANLANDS LÄN</t>
        </is>
      </c>
      <c r="G128" t="inlineStr">
        <is>
          <t>NORBERG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46271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46271</v>
      </c>
      <c r="F130" t="inlineStr">
        <is>
          <t>VÄSTMANLANDS LÄN</t>
        </is>
      </c>
      <c r="G130" t="inlineStr">
        <is>
          <t>NORBERG</t>
        </is>
      </c>
      <c r="H130" t="inlineStr">
        <is>
          <t>Bergvik skog väst AB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20968-2026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46142</v>
      </c>
      <c r="E131" s="1" t="n">
        <v>46271</v>
      </c>
      <c r="F131" t="inlineStr">
        <is>
          <t>VÄSTMANLANDS LÄN</t>
        </is>
      </c>
      <c r="G131" t="inlineStr">
        <is>
          <t>NORBERG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46271</v>
      </c>
      <c r="F132" t="inlineStr">
        <is>
          <t>VÄSTMANLANDS LÄN</t>
        </is>
      </c>
      <c r="G132" t="inlineStr">
        <is>
          <t>NORBERG</t>
        </is>
      </c>
      <c r="H132" t="inlineStr">
        <is>
          <t>Bergvik skog väst AB</t>
        </is>
      </c>
      <c r="I132" t="n">
        <v>12.1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46271</v>
      </c>
      <c r="F133" t="inlineStr">
        <is>
          <t>VÄSTMANLANDS LÄN</t>
        </is>
      </c>
      <c r="G133" t="inlineStr">
        <is>
          <t>NORBERG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46271</v>
      </c>
      <c r="F134" t="inlineStr">
        <is>
          <t>VÄSTMANLANDS LÄN</t>
        </is>
      </c>
      <c r="G134" t="inlineStr">
        <is>
          <t>NORBERG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46271</v>
      </c>
      <c r="F135" t="inlineStr">
        <is>
          <t>VÄSTMANLANDS LÄN</t>
        </is>
      </c>
      <c r="G135" t="inlineStr">
        <is>
          <t>NORBERG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46271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46271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46271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46271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46271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56400-2025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45974</v>
      </c>
      <c r="E141" s="1" t="n">
        <v>46271</v>
      </c>
      <c r="F141" t="inlineStr">
        <is>
          <t>VÄSTMANLANDS LÄN</t>
        </is>
      </c>
      <c r="G141" t="inlineStr">
        <is>
          <t>NORBERG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46271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46271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46271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46271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45200</v>
      </c>
      <c r="E146" s="1" t="n">
        <v>46271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46271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46271</v>
      </c>
      <c r="F148" t="inlineStr">
        <is>
          <t>VÄSTMANLANDS LÄN</t>
        </is>
      </c>
      <c r="G148" t="inlineStr">
        <is>
          <t>NORBERG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46271</v>
      </c>
      <c r="F149" t="inlineStr">
        <is>
          <t>VÄSTMANLANDS LÄN</t>
        </is>
      </c>
      <c r="G149" t="inlineStr">
        <is>
          <t>NORBERG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46271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46271</v>
      </c>
      <c r="F151" t="inlineStr">
        <is>
          <t>VÄSTMANLANDS LÄN</t>
        </is>
      </c>
      <c r="G151" t="inlineStr">
        <is>
          <t>NORBERG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46271</v>
      </c>
      <c r="F152" t="inlineStr">
        <is>
          <t>VÄSTMANLANDS LÄN</t>
        </is>
      </c>
      <c r="G152" t="inlineStr">
        <is>
          <t>NORBERG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46271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67356-2021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46271</v>
      </c>
      <c r="F154" t="inlineStr">
        <is>
          <t>VÄSTMANLANDS LÄN</t>
        </is>
      </c>
      <c r="G154" t="inlineStr">
        <is>
          <t>NORBERG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46271</v>
      </c>
      <c r="F155" t="inlineStr">
        <is>
          <t>VÄSTMANLANDS LÄN</t>
        </is>
      </c>
      <c r="G155" t="inlineStr">
        <is>
          <t>NORBERG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46232</v>
      </c>
      <c r="E156" s="1" t="n">
        <v>46271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46271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46271</v>
      </c>
      <c r="F158" t="inlineStr">
        <is>
          <t>VÄSTMANLANDS LÄN</t>
        </is>
      </c>
      <c r="G158" t="inlineStr">
        <is>
          <t>NORBERG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46271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46233</v>
      </c>
      <c r="E160" s="1" t="n">
        <v>46271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46271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46271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32385-2026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46238</v>
      </c>
      <c r="E163" s="1" t="n">
        <v>46271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46271</v>
      </c>
      <c r="F164" t="inlineStr">
        <is>
          <t>VÄSTMANLANDS LÄN</t>
        </is>
      </c>
      <c r="G164" t="inlineStr">
        <is>
          <t>NORBERG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46271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46271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46271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46271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46271</v>
      </c>
      <c r="F169" t="inlineStr">
        <is>
          <t>VÄSTMANLANDS LÄN</t>
        </is>
      </c>
      <c r="G169" t="inlineStr">
        <is>
          <t>NORBERG</t>
        </is>
      </c>
      <c r="H169" t="inlineStr">
        <is>
          <t>Övriga Aktiebolag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46271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46271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46271</v>
      </c>
      <c r="F172" t="inlineStr">
        <is>
          <t>VÄSTMANLANDS LÄN</t>
        </is>
      </c>
      <c r="G172" t="inlineStr">
        <is>
          <t>NORBERG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46247</v>
      </c>
      <c r="E173" s="1" t="n">
        <v>46271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46271</v>
      </c>
      <c r="F174" t="inlineStr">
        <is>
          <t>VÄSTMANLANDS LÄN</t>
        </is>
      </c>
      <c r="G174" t="inlineStr">
        <is>
          <t>NORBERG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46271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46271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46271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46271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46271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46271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46271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46271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46271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46271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46271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45576</v>
      </c>
      <c r="E186" s="1" t="n">
        <v>46271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46271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46271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46223</v>
      </c>
      <c r="E189" s="1" t="n">
        <v>46271</v>
      </c>
      <c r="F189" t="inlineStr">
        <is>
          <t>VÄSTMANLANDS LÄN</t>
        </is>
      </c>
      <c r="G189" t="inlineStr">
        <is>
          <t>NORBERG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46266</v>
      </c>
      <c r="E190" s="1" t="n">
        <v>46271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46271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46271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46271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46271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46271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2026-09-06T02:06:56Z</dcterms:created>
  <dcterms:modified xmlns:dcterms="http://purl.org/dc/terms/" xmlns:xsi="http://www.w3.org/2001/XMLSchema-instance" xsi:type="dcterms:W3CDTF">2026-09-06T02:06:56Z</dcterms:modified>
</cp:coreProperties>
</file>