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45732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45732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45732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45732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45732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45732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45732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45732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45732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45732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HYPERLINK("https://klasma.github.io/Logging_1962/artfynd/A 9811-2025 artfynd.xlsx", "A 9811-2025")</f>
        <v/>
      </c>
      <c r="T11">
        <f>HYPERLINK("https://klasma.github.io/Logging_1962/kartor/A 9811-2025 karta.png", "A 9811-2025")</f>
        <v/>
      </c>
      <c r="V11">
        <f>HYPERLINK("https://klasma.github.io/Logging_1962/klagomål/A 9811-2025 FSC-klagomål.docx", "A 9811-2025")</f>
        <v/>
      </c>
      <c r="W11">
        <f>HYPERLINK("https://klasma.github.io/Logging_1962/klagomålsmail/A 9811-2025 FSC-klagomål mail.docx", "A 9811-2025")</f>
        <v/>
      </c>
      <c r="X11">
        <f>HYPERLINK("https://klasma.github.io/Logging_1962/tillsyn/A 9811-2025 tillsynsbegäran.docx", "A 9811-2025")</f>
        <v/>
      </c>
      <c r="Y11">
        <f>HYPERLINK("https://klasma.github.io/Logging_1962/tillsynsmail/A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45732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45732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45732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45732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45732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45732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45732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45732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59891-2019</t>
        </is>
      </c>
      <c r="B20" s="1" t="n">
        <v>43774</v>
      </c>
      <c r="C20" s="1" t="n">
        <v>45732</v>
      </c>
      <c r="D20" t="inlineStr">
        <is>
          <t>VÄSTMANLANDS LÄN</t>
        </is>
      </c>
      <c r="E20" t="inlineStr">
        <is>
          <t>NORBERG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Bollvitmossa</t>
        </is>
      </c>
      <c r="S20">
        <f>HYPERLINK("https://klasma.github.io/Logging_1962/artfynd/A 59891-2019 artfynd.xlsx", "A 59891-2019")</f>
        <v/>
      </c>
      <c r="T20">
        <f>HYPERLINK("https://klasma.github.io/Logging_1962/kartor/A 59891-2019 karta.png", "A 59891-2019")</f>
        <v/>
      </c>
      <c r="V20">
        <f>HYPERLINK("https://klasma.github.io/Logging_1962/klagomål/A 59891-2019 FSC-klagomål.docx", "A 59891-2019")</f>
        <v/>
      </c>
      <c r="W20">
        <f>HYPERLINK("https://klasma.github.io/Logging_1962/klagomålsmail/A 59891-2019 FSC-klagomål mail.docx", "A 59891-2019")</f>
        <v/>
      </c>
      <c r="X20">
        <f>HYPERLINK("https://klasma.github.io/Logging_1962/tillsyn/A 59891-2019 tillsynsbegäran.docx", "A 59891-2019")</f>
        <v/>
      </c>
      <c r="Y20">
        <f>HYPERLINK("https://klasma.github.io/Logging_1962/tillsynsmail/A 59891-2019 tillsynsbegäran mail.docx", "A 59891-2019")</f>
        <v/>
      </c>
    </row>
    <row r="21" ht="15" customHeight="1">
      <c r="A21" t="inlineStr">
        <is>
          <t>A 25391-2021</t>
        </is>
      </c>
      <c r="B21" s="1" t="n">
        <v>44342</v>
      </c>
      <c r="C21" s="1" t="n">
        <v>45732</v>
      </c>
      <c r="D21" t="inlineStr">
        <is>
          <t>VÄSTMANLANDS LÄN</t>
        </is>
      </c>
      <c r="E21" t="inlineStr">
        <is>
          <t>NORBERG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HYPERLINK("https://klasma.github.io/Logging_1962/artfynd/A 25391-2021 artfynd.xlsx", "A 25391-2021")</f>
        <v/>
      </c>
      <c r="T21">
        <f>HYPERLINK("https://klasma.github.io/Logging_1962/kartor/A 25391-2021 karta.png", "A 25391-2021")</f>
        <v/>
      </c>
      <c r="V21">
        <f>HYPERLINK("https://klasma.github.io/Logging_1962/klagomål/A 25391-2021 FSC-klagomål.docx", "A 25391-2021")</f>
        <v/>
      </c>
      <c r="W21">
        <f>HYPERLINK("https://klasma.github.io/Logging_1962/klagomålsmail/A 25391-2021 FSC-klagomål mail.docx", "A 25391-2021")</f>
        <v/>
      </c>
      <c r="X21">
        <f>HYPERLINK("https://klasma.github.io/Logging_1962/tillsyn/A 25391-2021 tillsynsbegäran.docx", "A 25391-2021")</f>
        <v/>
      </c>
      <c r="Y21">
        <f>HYPERLINK("https://klasma.github.io/Logging_1962/tillsynsmail/A 25391-2021 tillsynsbegäran mail.docx", "A 25391-2021")</f>
        <v/>
      </c>
    </row>
    <row r="22" ht="15" customHeight="1">
      <c r="A22" t="inlineStr">
        <is>
          <t>A 56825-2021</t>
        </is>
      </c>
      <c r="B22" s="1" t="n">
        <v>44480</v>
      </c>
      <c r="C22" s="1" t="n">
        <v>45732</v>
      </c>
      <c r="D22" t="inlineStr">
        <is>
          <t>VÄSTMANLANDS LÄN</t>
        </is>
      </c>
      <c r="E22" t="inlineStr">
        <is>
          <t>NORBERG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HYPERLINK("https://klasma.github.io/Logging_1962/artfynd/A 56825-2021 artfynd.xlsx", "A 56825-2021")</f>
        <v/>
      </c>
      <c r="T22">
        <f>HYPERLINK("https://klasma.github.io/Logging_1962/kartor/A 56825-2021 karta.png", "A 56825-2021")</f>
        <v/>
      </c>
      <c r="V22">
        <f>HYPERLINK("https://klasma.github.io/Logging_1962/klagomål/A 56825-2021 FSC-klagomål.docx", "A 56825-2021")</f>
        <v/>
      </c>
      <c r="W22">
        <f>HYPERLINK("https://klasma.github.io/Logging_1962/klagomålsmail/A 56825-2021 FSC-klagomål mail.docx", "A 56825-2021")</f>
        <v/>
      </c>
      <c r="X22">
        <f>HYPERLINK("https://klasma.github.io/Logging_1962/tillsyn/A 56825-2021 tillsynsbegäran.docx", "A 56825-2021")</f>
        <v/>
      </c>
      <c r="Y22">
        <f>HYPERLINK("https://klasma.github.io/Logging_1962/tillsynsmail/A 56825-2021 tillsynsbegäran mail.docx", "A 56825-2021")</f>
        <v/>
      </c>
    </row>
    <row r="23" ht="15" customHeight="1">
      <c r="A23" t="inlineStr">
        <is>
          <t>A 9872-2022</t>
        </is>
      </c>
      <c r="B23" s="1" t="n">
        <v>44620</v>
      </c>
      <c r="C23" s="1" t="n">
        <v>45732</v>
      </c>
      <c r="D23" t="inlineStr">
        <is>
          <t>VÄSTMANLANDS LÄN</t>
        </is>
      </c>
      <c r="E23" t="inlineStr">
        <is>
          <t>NORBERG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Mindre vattensalamander</t>
        </is>
      </c>
      <c r="S23">
        <f>HYPERLINK("https://klasma.github.io/Logging_1962/artfynd/A 9872-2022 artfynd.xlsx", "A 9872-2022")</f>
        <v/>
      </c>
      <c r="T23">
        <f>HYPERLINK("https://klasma.github.io/Logging_1962/kartor/A 9872-2022 karta.png", "A 9872-2022")</f>
        <v/>
      </c>
      <c r="V23">
        <f>HYPERLINK("https://klasma.github.io/Logging_1962/klagomål/A 9872-2022 FSC-klagomål.docx", "A 9872-2022")</f>
        <v/>
      </c>
      <c r="W23">
        <f>HYPERLINK("https://klasma.github.io/Logging_1962/klagomålsmail/A 9872-2022 FSC-klagomål mail.docx", "A 9872-2022")</f>
        <v/>
      </c>
      <c r="X23">
        <f>HYPERLINK("https://klasma.github.io/Logging_1962/tillsyn/A 9872-2022 tillsynsbegäran.docx", "A 9872-2022")</f>
        <v/>
      </c>
      <c r="Y23">
        <f>HYPERLINK("https://klasma.github.io/Logging_1962/tillsynsmail/A 9872-2022 tillsynsbegäran mail.docx", "A 9872-2022")</f>
        <v/>
      </c>
    </row>
    <row r="24" ht="15" customHeight="1">
      <c r="A24" t="inlineStr">
        <is>
          <t>A 41745-2022</t>
        </is>
      </c>
      <c r="B24" s="1" t="n">
        <v>44827</v>
      </c>
      <c r="C24" s="1" t="n">
        <v>45732</v>
      </c>
      <c r="D24" t="inlineStr">
        <is>
          <t>VÄSTMANLANDS LÄN</t>
        </is>
      </c>
      <c r="E24" t="inlineStr">
        <is>
          <t>NORBERG</t>
        </is>
      </c>
      <c r="G24" t="n">
        <v>12.7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Järpe</t>
        </is>
      </c>
      <c r="S24">
        <f>HYPERLINK("https://klasma.github.io/Logging_1962/artfynd/A 41745-2022 artfynd.xlsx", "A 41745-2022")</f>
        <v/>
      </c>
      <c r="T24">
        <f>HYPERLINK("https://klasma.github.io/Logging_1962/kartor/A 41745-2022 karta.png", "A 41745-2022")</f>
        <v/>
      </c>
      <c r="V24">
        <f>HYPERLINK("https://klasma.github.io/Logging_1962/klagomål/A 41745-2022 FSC-klagomål.docx", "A 41745-2022")</f>
        <v/>
      </c>
      <c r="W24">
        <f>HYPERLINK("https://klasma.github.io/Logging_1962/klagomålsmail/A 41745-2022 FSC-klagomål mail.docx", "A 41745-2022")</f>
        <v/>
      </c>
      <c r="X24">
        <f>HYPERLINK("https://klasma.github.io/Logging_1962/tillsyn/A 41745-2022 tillsynsbegäran.docx", "A 41745-2022")</f>
        <v/>
      </c>
      <c r="Y24">
        <f>HYPERLINK("https://klasma.github.io/Logging_1962/tillsynsmail/A 41745-2022 tillsynsbegäran mail.docx", "A 41745-2022")</f>
        <v/>
      </c>
      <c r="Z24">
        <f>HYPERLINK("https://klasma.github.io/Logging_1962/fåglar/A 41745-2022 prioriterade fågelarter.docx", "A 41745-2022")</f>
        <v/>
      </c>
    </row>
    <row r="25" ht="15" customHeight="1">
      <c r="A25" t="inlineStr">
        <is>
          <t>A 52304-2022</t>
        </is>
      </c>
      <c r="B25" s="1" t="n">
        <v>44869</v>
      </c>
      <c r="C25" s="1" t="n">
        <v>45732</v>
      </c>
      <c r="D25" t="inlineStr">
        <is>
          <t>VÄSTMANLANDS LÄN</t>
        </is>
      </c>
      <c r="E25" t="inlineStr">
        <is>
          <t>NORBERG</t>
        </is>
      </c>
      <c r="G25" t="n">
        <v>14.5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Skarp dropptaggsvamp</t>
        </is>
      </c>
      <c r="S25">
        <f>HYPERLINK("https://klasma.github.io/Logging_1962/artfynd/A 52304-2022 artfynd.xlsx", "A 52304-2022")</f>
        <v/>
      </c>
      <c r="T25">
        <f>HYPERLINK("https://klasma.github.io/Logging_1962/kartor/A 52304-2022 karta.png", "A 52304-2022")</f>
        <v/>
      </c>
      <c r="V25">
        <f>HYPERLINK("https://klasma.github.io/Logging_1962/klagomål/A 52304-2022 FSC-klagomål.docx", "A 52304-2022")</f>
        <v/>
      </c>
      <c r="W25">
        <f>HYPERLINK("https://klasma.github.io/Logging_1962/klagomålsmail/A 52304-2022 FSC-klagomål mail.docx", "A 52304-2022")</f>
        <v/>
      </c>
      <c r="X25">
        <f>HYPERLINK("https://klasma.github.io/Logging_1962/tillsyn/A 52304-2022 tillsynsbegäran.docx", "A 52304-2022")</f>
        <v/>
      </c>
      <c r="Y25">
        <f>HYPERLINK("https://klasma.github.io/Logging_1962/tillsynsmail/A 52304-2022 tillsynsbegäran mail.docx", "A 52304-2022")</f>
        <v/>
      </c>
    </row>
    <row r="26" ht="15" customHeight="1">
      <c r="A26" t="inlineStr">
        <is>
          <t>A 23087-2023</t>
        </is>
      </c>
      <c r="B26" s="1" t="n">
        <v>45075</v>
      </c>
      <c r="C26" s="1" t="n">
        <v>45732</v>
      </c>
      <c r="D26" t="inlineStr">
        <is>
          <t>VÄSTMANLANDS LÄN</t>
        </is>
      </c>
      <c r="E26" t="inlineStr">
        <is>
          <t>NORBERG</t>
        </is>
      </c>
      <c r="F26" t="inlineStr">
        <is>
          <t>Bergvik skog väst AB</t>
        </is>
      </c>
      <c r="G26" t="n">
        <v>8.4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HYPERLINK("https://klasma.github.io/Logging_1962/artfynd/A 23087-2023 artfynd.xlsx", "A 23087-2023")</f>
        <v/>
      </c>
      <c r="T26">
        <f>HYPERLINK("https://klasma.github.io/Logging_1962/kartor/A 23087-2023 karta.png", "A 23087-2023")</f>
        <v/>
      </c>
      <c r="V26">
        <f>HYPERLINK("https://klasma.github.io/Logging_1962/klagomål/A 23087-2023 FSC-klagomål.docx", "A 23087-2023")</f>
        <v/>
      </c>
      <c r="W26">
        <f>HYPERLINK("https://klasma.github.io/Logging_1962/klagomålsmail/A 23087-2023 FSC-klagomål mail.docx", "A 23087-2023")</f>
        <v/>
      </c>
      <c r="X26">
        <f>HYPERLINK("https://klasma.github.io/Logging_1962/tillsyn/A 23087-2023 tillsynsbegäran.docx", "A 23087-2023")</f>
        <v/>
      </c>
      <c r="Y26">
        <f>HYPERLINK("https://klasma.github.io/Logging_1962/tillsynsmail/A 23087-2023 tillsynsbegäran mail.docx", "A 23087-2023")</f>
        <v/>
      </c>
    </row>
    <row r="27" ht="15" customHeight="1">
      <c r="A27" t="inlineStr">
        <is>
          <t>A 23690-2023</t>
        </is>
      </c>
      <c r="B27" s="1" t="n">
        <v>45077</v>
      </c>
      <c r="C27" s="1" t="n">
        <v>45732</v>
      </c>
      <c r="D27" t="inlineStr">
        <is>
          <t>VÄSTMANLANDS LÄN</t>
        </is>
      </c>
      <c r="E27" t="inlineStr">
        <is>
          <t>NORBERG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HYPERLINK("https://klasma.github.io/Logging_1962/artfynd/A 23690-2023 artfynd.xlsx", "A 23690-2023")</f>
        <v/>
      </c>
      <c r="T27">
        <f>HYPERLINK("https://klasma.github.io/Logging_1962/kartor/A 23690-2023 karta.png", "A 23690-2023")</f>
        <v/>
      </c>
      <c r="U27">
        <f>HYPERLINK("https://klasma.github.io/Logging_1962/knärot/A 23690-2023 karta knärot.png", "A 23690-2023")</f>
        <v/>
      </c>
      <c r="V27">
        <f>HYPERLINK("https://klasma.github.io/Logging_1962/klagomål/A 23690-2023 FSC-klagomål.docx", "A 23690-2023")</f>
        <v/>
      </c>
      <c r="W27">
        <f>HYPERLINK("https://klasma.github.io/Logging_1962/klagomålsmail/A 23690-2023 FSC-klagomål mail.docx", "A 23690-2023")</f>
        <v/>
      </c>
      <c r="X27">
        <f>HYPERLINK("https://klasma.github.io/Logging_1962/tillsyn/A 23690-2023 tillsynsbegäran.docx", "A 23690-2023")</f>
        <v/>
      </c>
      <c r="Y27">
        <f>HYPERLINK("https://klasma.github.io/Logging_1962/tillsynsmail/A 23690-2023 tillsynsbegäran mail.docx", "A 23690-2023")</f>
        <v/>
      </c>
    </row>
    <row r="28" ht="15" customHeight="1">
      <c r="A28" t="inlineStr">
        <is>
          <t>A 42194-2023</t>
        </is>
      </c>
      <c r="B28" s="1" t="n">
        <v>45179</v>
      </c>
      <c r="C28" s="1" t="n">
        <v>45732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2.8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HYPERLINK("https://klasma.github.io/Logging_1962/artfynd/A 42194-2023 artfynd.xlsx", "A 42194-2023")</f>
        <v/>
      </c>
      <c r="T28">
        <f>HYPERLINK("https://klasma.github.io/Logging_1962/kartor/A 42194-2023 karta.png", "A 42194-2023")</f>
        <v/>
      </c>
      <c r="V28">
        <f>HYPERLINK("https://klasma.github.io/Logging_1962/klagomål/A 42194-2023 FSC-klagomål.docx", "A 42194-2023")</f>
        <v/>
      </c>
      <c r="W28">
        <f>HYPERLINK("https://klasma.github.io/Logging_1962/klagomålsmail/A 42194-2023 FSC-klagomål mail.docx", "A 42194-2023")</f>
        <v/>
      </c>
      <c r="X28">
        <f>HYPERLINK("https://klasma.github.io/Logging_1962/tillsyn/A 42194-2023 tillsynsbegäran.docx", "A 42194-2023")</f>
        <v/>
      </c>
      <c r="Y28">
        <f>HYPERLINK("https://klasma.github.io/Logging_1962/tillsynsmail/A 42194-2023 tillsynsbegäran mail.docx", "A 42194-2023")</f>
        <v/>
      </c>
    </row>
    <row r="29" ht="15" customHeight="1">
      <c r="A29" t="inlineStr">
        <is>
          <t>A 41468-2024</t>
        </is>
      </c>
      <c r="B29" s="1" t="n">
        <v>45560</v>
      </c>
      <c r="C29" s="1" t="n">
        <v>45732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14.2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HYPERLINK("https://klasma.github.io/Logging_1962/artfynd/A 41468-2024 artfynd.xlsx", "A 41468-2024")</f>
        <v/>
      </c>
      <c r="T29">
        <f>HYPERLINK("https://klasma.github.io/Logging_1962/kartor/A 41468-2024 karta.png", "A 41468-2024")</f>
        <v/>
      </c>
      <c r="U29">
        <f>HYPERLINK("https://klasma.github.io/Logging_1962/knärot/A 41468-2024 karta knärot.png", "A 41468-2024")</f>
        <v/>
      </c>
      <c r="V29">
        <f>HYPERLINK("https://klasma.github.io/Logging_1962/klagomål/A 41468-2024 FSC-klagomål.docx", "A 41468-2024")</f>
        <v/>
      </c>
      <c r="W29">
        <f>HYPERLINK("https://klasma.github.io/Logging_1962/klagomålsmail/A 41468-2024 FSC-klagomål mail.docx", "A 41468-2024")</f>
        <v/>
      </c>
      <c r="X29">
        <f>HYPERLINK("https://klasma.github.io/Logging_1962/tillsyn/A 41468-2024 tillsynsbegäran.docx", "A 41468-2024")</f>
        <v/>
      </c>
      <c r="Y29">
        <f>HYPERLINK("https://klasma.github.io/Logging_1962/tillsynsmail/A 41468-2024 tillsynsbegäran mail.docx", "A 41468-2024")</f>
        <v/>
      </c>
    </row>
    <row r="30" ht="15" customHeight="1">
      <c r="A30" t="inlineStr">
        <is>
          <t>A 47139-2024</t>
        </is>
      </c>
      <c r="B30" s="1" t="n">
        <v>45586</v>
      </c>
      <c r="C30" s="1" t="n">
        <v>45732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47139-2024 artfynd.xlsx", "A 47139-2024")</f>
        <v/>
      </c>
      <c r="T30">
        <f>HYPERLINK("https://klasma.github.io/Logging_1962/kartor/A 47139-2024 karta.png", "A 47139-2024")</f>
        <v/>
      </c>
      <c r="V30">
        <f>HYPERLINK("https://klasma.github.io/Logging_1962/klagomål/A 47139-2024 FSC-klagomål.docx", "A 47139-2024")</f>
        <v/>
      </c>
      <c r="W30">
        <f>HYPERLINK("https://klasma.github.io/Logging_1962/klagomålsmail/A 47139-2024 FSC-klagomål mail.docx", "A 47139-2024")</f>
        <v/>
      </c>
      <c r="X30">
        <f>HYPERLINK("https://klasma.github.io/Logging_1962/tillsyn/A 47139-2024 tillsynsbegäran.docx", "A 47139-2024")</f>
        <v/>
      </c>
      <c r="Y30">
        <f>HYPERLINK("https://klasma.github.io/Logging_1962/tillsynsmail/A 47139-2024 tillsynsbegäran mail.docx", "A 47139-2024")</f>
        <v/>
      </c>
    </row>
    <row r="31" ht="15" customHeight="1">
      <c r="A31" t="inlineStr">
        <is>
          <t>A 55711-2024</t>
        </is>
      </c>
      <c r="B31" s="1" t="n">
        <v>45622</v>
      </c>
      <c r="C31" s="1" t="n">
        <v>45732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55711-2024 artfynd.xlsx", "A 55711-2024")</f>
        <v/>
      </c>
      <c r="T31">
        <f>HYPERLINK("https://klasma.github.io/Logging_1962/kartor/A 55711-2024 karta.png", "A 55711-2024")</f>
        <v/>
      </c>
      <c r="V31">
        <f>HYPERLINK("https://klasma.github.io/Logging_1962/klagomål/A 55711-2024 FSC-klagomål.docx", "A 55711-2024")</f>
        <v/>
      </c>
      <c r="W31">
        <f>HYPERLINK("https://klasma.github.io/Logging_1962/klagomålsmail/A 55711-2024 FSC-klagomål mail.docx", "A 55711-2024")</f>
        <v/>
      </c>
      <c r="X31">
        <f>HYPERLINK("https://klasma.github.io/Logging_1962/tillsyn/A 55711-2024 tillsynsbegäran.docx", "A 55711-2024")</f>
        <v/>
      </c>
      <c r="Y31">
        <f>HYPERLINK("https://klasma.github.io/Logging_1962/tillsynsmail/A 55711-2024 tillsynsbegäran mail.docx", "A 55711-2024")</f>
        <v/>
      </c>
    </row>
    <row r="32" ht="15" customHeight="1">
      <c r="A32" t="inlineStr">
        <is>
          <t>A 61099-2024</t>
        </is>
      </c>
      <c r="B32" s="1" t="n">
        <v>45644</v>
      </c>
      <c r="C32" s="1" t="n">
        <v>45732</v>
      </c>
      <c r="D32" t="inlineStr">
        <is>
          <t>VÄSTMANLANDS LÄN</t>
        </is>
      </c>
      <c r="E32" t="inlineStr">
        <is>
          <t>NORBERG</t>
        </is>
      </c>
      <c r="G32" t="n">
        <v>0.4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HYPERLINK("https://klasma.github.io/Logging_1962/artfynd/A 61099-2024 artfynd.xlsx", "A 61099-2024")</f>
        <v/>
      </c>
      <c r="T32">
        <f>HYPERLINK("https://klasma.github.io/Logging_1962/kartor/A 61099-2024 karta.png", "A 61099-2024")</f>
        <v/>
      </c>
      <c r="V32">
        <f>HYPERLINK("https://klasma.github.io/Logging_1962/klagomål/A 61099-2024 FSC-klagomål.docx", "A 61099-2024")</f>
        <v/>
      </c>
      <c r="W32">
        <f>HYPERLINK("https://klasma.github.io/Logging_1962/klagomålsmail/A 61099-2024 FSC-klagomål mail.docx", "A 61099-2024")</f>
        <v/>
      </c>
      <c r="X32">
        <f>HYPERLINK("https://klasma.github.io/Logging_1962/tillsyn/A 61099-2024 tillsynsbegäran.docx", "A 61099-2024")</f>
        <v/>
      </c>
      <c r="Y32">
        <f>HYPERLINK("https://klasma.github.io/Logging_1962/tillsynsmail/A 61099-2024 tillsynsbegäran mail.docx", "A 61099-2024")</f>
        <v/>
      </c>
    </row>
    <row r="33" ht="15" customHeight="1">
      <c r="A33" t="inlineStr">
        <is>
          <t>A 20096-2019</t>
        </is>
      </c>
      <c r="B33" s="1" t="n">
        <v>43570</v>
      </c>
      <c r="C33" s="1" t="n">
        <v>45732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21396-2019</t>
        </is>
      </c>
      <c r="B34" s="1" t="n">
        <v>43580</v>
      </c>
      <c r="C34" s="1" t="n">
        <v>45732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21392-2019</t>
        </is>
      </c>
      <c r="B35" s="1" t="n">
        <v>43580</v>
      </c>
      <c r="C35" s="1" t="n">
        <v>45732</v>
      </c>
      <c r="D35" t="inlineStr">
        <is>
          <t>VÄSTMANLANDS LÄN</t>
        </is>
      </c>
      <c r="E35" t="inlineStr">
        <is>
          <t>NORBERG</t>
        </is>
      </c>
      <c r="F35" t="inlineStr">
        <is>
          <t>Övriga Aktiebolag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21859-2019</t>
        </is>
      </c>
      <c r="B36" s="1" t="n">
        <v>43584</v>
      </c>
      <c r="C36" s="1" t="n">
        <v>45732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23153-2019</t>
        </is>
      </c>
      <c r="B37" s="1" t="n">
        <v>43588</v>
      </c>
      <c r="C37" s="1" t="n">
        <v>45732</v>
      </c>
      <c r="D37" t="inlineStr">
        <is>
          <t>VÄSTMANLANDS LÄN</t>
        </is>
      </c>
      <c r="E37" t="inlineStr">
        <is>
          <t>NORBERG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22947-2019</t>
        </is>
      </c>
      <c r="B38" s="1" t="n">
        <v>43591</v>
      </c>
      <c r="C38" s="1" t="n">
        <v>45732</v>
      </c>
      <c r="D38" t="inlineStr">
        <is>
          <t>VÄSTMANLANDS LÄN</t>
        </is>
      </c>
      <c r="E38" t="inlineStr">
        <is>
          <t>NORBERG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22953-2019</t>
        </is>
      </c>
      <c r="B39" s="1" t="n">
        <v>43591</v>
      </c>
      <c r="C39" s="1" t="n">
        <v>45732</v>
      </c>
      <c r="D39" t="inlineStr">
        <is>
          <t>VÄSTMANLANDS LÄN</t>
        </is>
      </c>
      <c r="E39" t="inlineStr">
        <is>
          <t>NORBERG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23592-2019</t>
        </is>
      </c>
      <c r="B40" s="1" t="n">
        <v>43593</v>
      </c>
      <c r="C40" s="1" t="n">
        <v>45732</v>
      </c>
      <c r="D40" t="inlineStr">
        <is>
          <t>VÄSTMANLANDS LÄN</t>
        </is>
      </c>
      <c r="E40" t="inlineStr">
        <is>
          <t>NORBERG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28170-2019</t>
        </is>
      </c>
      <c r="B41" s="1" t="n">
        <v>43621</v>
      </c>
      <c r="C41" s="1" t="n">
        <v>45732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28136-2019</t>
        </is>
      </c>
      <c r="B42" s="1" t="n">
        <v>43621</v>
      </c>
      <c r="C42" s="1" t="n">
        <v>45732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29832-2019</t>
        </is>
      </c>
      <c r="B43" s="1" t="n">
        <v>43629</v>
      </c>
      <c r="C43" s="1" t="n">
        <v>45732</v>
      </c>
      <c r="D43" t="inlineStr">
        <is>
          <t>VÄSTMANLANDS LÄN</t>
        </is>
      </c>
      <c r="E43" t="inlineStr">
        <is>
          <t>NORBERG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29961-2019</t>
        </is>
      </c>
      <c r="B44" s="1" t="n">
        <v>43633</v>
      </c>
      <c r="C44" s="1" t="n">
        <v>45732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31029-2019</t>
        </is>
      </c>
      <c r="B45" s="1" t="n">
        <v>43635</v>
      </c>
      <c r="C45" s="1" t="n">
        <v>45732</v>
      </c>
      <c r="D45" t="inlineStr">
        <is>
          <t>VÄSTMANLANDS LÄN</t>
        </is>
      </c>
      <c r="E45" t="inlineStr">
        <is>
          <t>NORBERG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31748-2019</t>
        </is>
      </c>
      <c r="B46" s="1" t="n">
        <v>43642</v>
      </c>
      <c r="C46" s="1" t="n">
        <v>45732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32245-2019</t>
        </is>
      </c>
      <c r="B47" s="1" t="n">
        <v>43643</v>
      </c>
      <c r="C47" s="1" t="n">
        <v>45732</v>
      </c>
      <c r="D47" t="inlineStr">
        <is>
          <t>VÄSTMANLANDS LÄN</t>
        </is>
      </c>
      <c r="E47" t="inlineStr">
        <is>
          <t>NORBERG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35074-2019</t>
        </is>
      </c>
      <c r="B48" s="1" t="n">
        <v>43661</v>
      </c>
      <c r="C48" s="1" t="n">
        <v>45732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37524-2019</t>
        </is>
      </c>
      <c r="B49" s="1" t="n">
        <v>43679</v>
      </c>
      <c r="C49" s="1" t="n">
        <v>45732</v>
      </c>
      <c r="D49" t="inlineStr">
        <is>
          <t>VÄSTMANLANDS LÄN</t>
        </is>
      </c>
      <c r="E49" t="inlineStr">
        <is>
          <t>NORBERG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39198-2019</t>
        </is>
      </c>
      <c r="B50" s="1" t="n">
        <v>43685</v>
      </c>
      <c r="C50" s="1" t="n">
        <v>45732</v>
      </c>
      <c r="D50" t="inlineStr">
        <is>
          <t>VÄSTMANLANDS LÄN</t>
        </is>
      </c>
      <c r="E50" t="inlineStr">
        <is>
          <t>NORBERG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45467-2019</t>
        </is>
      </c>
      <c r="B51" s="1" t="n">
        <v>43710</v>
      </c>
      <c r="C51" s="1" t="n">
        <v>45732</v>
      </c>
      <c r="D51" t="inlineStr">
        <is>
          <t>VÄSTMANLANDS LÄN</t>
        </is>
      </c>
      <c r="E51" t="inlineStr">
        <is>
          <t>NORBERG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47217-2019</t>
        </is>
      </c>
      <c r="B52" s="1" t="n">
        <v>43720</v>
      </c>
      <c r="C52" s="1" t="n">
        <v>45732</v>
      </c>
      <c r="D52" t="inlineStr">
        <is>
          <t>VÄSTMANLANDS LÄN</t>
        </is>
      </c>
      <c r="E52" t="inlineStr">
        <is>
          <t>NORBERG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47197-2019</t>
        </is>
      </c>
      <c r="B53" s="1" t="n">
        <v>43720</v>
      </c>
      <c r="C53" s="1" t="n">
        <v>45732</v>
      </c>
      <c r="D53" t="inlineStr">
        <is>
          <t>VÄSTMANLANDS LÄN</t>
        </is>
      </c>
      <c r="E53" t="inlineStr">
        <is>
          <t>NORBERG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50359-2019</t>
        </is>
      </c>
      <c r="B54" s="1" t="n">
        <v>43735</v>
      </c>
      <c r="C54" s="1" t="n">
        <v>45732</v>
      </c>
      <c r="D54" t="inlineStr">
        <is>
          <t>VÄSTMANLANDS LÄN</t>
        </is>
      </c>
      <c r="E54" t="inlineStr">
        <is>
          <t>NORBERG</t>
        </is>
      </c>
      <c r="F54" t="inlineStr">
        <is>
          <t>Sveaskog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55079-2019</t>
        </is>
      </c>
      <c r="B55" s="1" t="n">
        <v>43752</v>
      </c>
      <c r="C55" s="1" t="n">
        <v>45732</v>
      </c>
      <c r="D55" t="inlineStr">
        <is>
          <t>VÄSTMANLANDS LÄN</t>
        </is>
      </c>
      <c r="E55" t="inlineStr">
        <is>
          <t>NORBERG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58573-2019</t>
        </is>
      </c>
      <c r="B56" s="1" t="n">
        <v>43766</v>
      </c>
      <c r="C56" s="1" t="n">
        <v>45732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58582-2019</t>
        </is>
      </c>
      <c r="B57" s="1" t="n">
        <v>43766</v>
      </c>
      <c r="C57" s="1" t="n">
        <v>45732</v>
      </c>
      <c r="D57" t="inlineStr">
        <is>
          <t>VÄSTMANLANDS LÄN</t>
        </is>
      </c>
      <c r="E57" t="inlineStr">
        <is>
          <t>NORBERG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58555-2019</t>
        </is>
      </c>
      <c r="B58" s="1" t="n">
        <v>43766</v>
      </c>
      <c r="C58" s="1" t="n">
        <v>45732</v>
      </c>
      <c r="D58" t="inlineStr">
        <is>
          <t>VÄSTMANLANDS LÄN</t>
        </is>
      </c>
      <c r="E58" t="inlineStr">
        <is>
          <t>NORBERG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58579-2019</t>
        </is>
      </c>
      <c r="B59" s="1" t="n">
        <v>43766</v>
      </c>
      <c r="C59" s="1" t="n">
        <v>45732</v>
      </c>
      <c r="D59" t="inlineStr">
        <is>
          <t>VÄSTMANLANDS LÄN</t>
        </is>
      </c>
      <c r="E59" t="inlineStr">
        <is>
          <t>NORBERG</t>
        </is>
      </c>
      <c r="G59" t="n">
        <v>6.9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57997-2019</t>
        </is>
      </c>
      <c r="B60" s="1" t="n">
        <v>43769</v>
      </c>
      <c r="C60" s="1" t="n">
        <v>45732</v>
      </c>
      <c r="D60" t="inlineStr">
        <is>
          <t>VÄSTMANLANDS LÄN</t>
        </is>
      </c>
      <c r="E60" t="inlineStr">
        <is>
          <t>NORBERG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61555-2019</t>
        </is>
      </c>
      <c r="B61" s="1" t="n">
        <v>43784</v>
      </c>
      <c r="C61" s="1" t="n">
        <v>45732</v>
      </c>
      <c r="D61" t="inlineStr">
        <is>
          <t>VÄSTMANLANDS LÄN</t>
        </is>
      </c>
      <c r="E61" t="inlineStr">
        <is>
          <t>NORBERG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67711-2019</t>
        </is>
      </c>
      <c r="B62" s="1" t="n">
        <v>43810</v>
      </c>
      <c r="C62" s="1" t="n">
        <v>45732</v>
      </c>
      <c r="D62" t="inlineStr">
        <is>
          <t>VÄSTMANLANDS LÄN</t>
        </is>
      </c>
      <c r="E62" t="inlineStr">
        <is>
          <t>NORBERG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1288-2020</t>
        </is>
      </c>
      <c r="B63" s="1" t="n">
        <v>43842</v>
      </c>
      <c r="C63" s="1" t="n">
        <v>45732</v>
      </c>
      <c r="D63" t="inlineStr">
        <is>
          <t>VÄSTMANLANDS LÄN</t>
        </is>
      </c>
      <c r="E63" t="inlineStr">
        <is>
          <t>NORBERG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4978-2020</t>
        </is>
      </c>
      <c r="B64" s="1" t="n">
        <v>43859</v>
      </c>
      <c r="C64" s="1" t="n">
        <v>45732</v>
      </c>
      <c r="D64" t="inlineStr">
        <is>
          <t>VÄSTMANLANDS LÄN</t>
        </is>
      </c>
      <c r="E64" t="inlineStr">
        <is>
          <t>NORBERG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4951-2020</t>
        </is>
      </c>
      <c r="B65" s="1" t="n">
        <v>43859</v>
      </c>
      <c r="C65" s="1" t="n">
        <v>45732</v>
      </c>
      <c r="D65" t="inlineStr">
        <is>
          <t>VÄSTMANLANDS LÄN</t>
        </is>
      </c>
      <c r="E65" t="inlineStr">
        <is>
          <t>NORBERG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7735-2020</t>
        </is>
      </c>
      <c r="B66" s="1" t="n">
        <v>43872</v>
      </c>
      <c r="C66" s="1" t="n">
        <v>45732</v>
      </c>
      <c r="D66" t="inlineStr">
        <is>
          <t>VÄSTMANLANDS LÄN</t>
        </is>
      </c>
      <c r="E66" t="inlineStr">
        <is>
          <t>NORBERG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9583-2020</t>
        </is>
      </c>
      <c r="B67" s="1" t="n">
        <v>43881</v>
      </c>
      <c r="C67" s="1" t="n">
        <v>45732</v>
      </c>
      <c r="D67" t="inlineStr">
        <is>
          <t>VÄSTMANLANDS LÄN</t>
        </is>
      </c>
      <c r="E67" t="inlineStr">
        <is>
          <t>NORBERG</t>
        </is>
      </c>
      <c r="F67" t="inlineStr">
        <is>
          <t>Övriga Aktiebolag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9989-2020</t>
        </is>
      </c>
      <c r="B68" s="1" t="n">
        <v>43882</v>
      </c>
      <c r="C68" s="1" t="n">
        <v>45732</v>
      </c>
      <c r="D68" t="inlineStr">
        <is>
          <t>VÄSTMANLANDS LÄN</t>
        </is>
      </c>
      <c r="E68" t="inlineStr">
        <is>
          <t>NORBERG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10006-2020</t>
        </is>
      </c>
      <c r="B69" s="1" t="n">
        <v>43882</v>
      </c>
      <c r="C69" s="1" t="n">
        <v>45732</v>
      </c>
      <c r="D69" t="inlineStr">
        <is>
          <t>VÄSTMANLANDS LÄN</t>
        </is>
      </c>
      <c r="E69" t="inlineStr">
        <is>
          <t>NORBERG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10000-2020</t>
        </is>
      </c>
      <c r="B70" s="1" t="n">
        <v>43882</v>
      </c>
      <c r="C70" s="1" t="n">
        <v>45732</v>
      </c>
      <c r="D70" t="inlineStr">
        <is>
          <t>VÄSTMANLANDS LÄN</t>
        </is>
      </c>
      <c r="E70" t="inlineStr">
        <is>
          <t>NORBERG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10001-2020</t>
        </is>
      </c>
      <c r="B71" s="1" t="n">
        <v>43882</v>
      </c>
      <c r="C71" s="1" t="n">
        <v>45732</v>
      </c>
      <c r="D71" t="inlineStr">
        <is>
          <t>VÄSTMANLANDS LÄN</t>
        </is>
      </c>
      <c r="E71" t="inlineStr">
        <is>
          <t>NORBERG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10783-2020</t>
        </is>
      </c>
      <c r="B72" s="1" t="n">
        <v>43888</v>
      </c>
      <c r="C72" s="1" t="n">
        <v>45732</v>
      </c>
      <c r="D72" t="inlineStr">
        <is>
          <t>VÄSTMANLANDS LÄN</t>
        </is>
      </c>
      <c r="E72" t="inlineStr">
        <is>
          <t>NORBERG</t>
        </is>
      </c>
      <c r="F72" t="inlineStr">
        <is>
          <t>Bergvik skog väst AB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10917-2020</t>
        </is>
      </c>
      <c r="B73" s="1" t="n">
        <v>43889</v>
      </c>
      <c r="C73" s="1" t="n">
        <v>45732</v>
      </c>
      <c r="D73" t="inlineStr">
        <is>
          <t>VÄSTMANLANDS LÄN</t>
        </is>
      </c>
      <c r="E73" t="inlineStr">
        <is>
          <t>NORBERG</t>
        </is>
      </c>
      <c r="F73" t="inlineStr">
        <is>
          <t>Övriga Aktiebolag</t>
        </is>
      </c>
      <c r="G73" t="n">
        <v>10.1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10905-2020</t>
        </is>
      </c>
      <c r="B74" s="1" t="n">
        <v>43889</v>
      </c>
      <c r="C74" s="1" t="n">
        <v>45732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11629-2020</t>
        </is>
      </c>
      <c r="B75" s="1" t="n">
        <v>43893</v>
      </c>
      <c r="C75" s="1" t="n">
        <v>45732</v>
      </c>
      <c r="D75" t="inlineStr">
        <is>
          <t>VÄSTMANLANDS LÄN</t>
        </is>
      </c>
      <c r="E75" t="inlineStr">
        <is>
          <t>NORBERG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11826-2020</t>
        </is>
      </c>
      <c r="B76" s="1" t="n">
        <v>43894</v>
      </c>
      <c r="C76" s="1" t="n">
        <v>45732</v>
      </c>
      <c r="D76" t="inlineStr">
        <is>
          <t>VÄSTMANLANDS LÄN</t>
        </is>
      </c>
      <c r="E76" t="inlineStr">
        <is>
          <t>NORBERG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12621-2020</t>
        </is>
      </c>
      <c r="B77" s="1" t="n">
        <v>43899</v>
      </c>
      <c r="C77" s="1" t="n">
        <v>45732</v>
      </c>
      <c r="D77" t="inlineStr">
        <is>
          <t>VÄSTMANLANDS LÄN</t>
        </is>
      </c>
      <c r="E77" t="inlineStr">
        <is>
          <t>NORBERG</t>
        </is>
      </c>
      <c r="G77" t="n">
        <v>9.300000000000001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15179-2020</t>
        </is>
      </c>
      <c r="B78" s="1" t="n">
        <v>43913</v>
      </c>
      <c r="C78" s="1" t="n">
        <v>45732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15546-2020</t>
        </is>
      </c>
      <c r="B79" s="1" t="n">
        <v>43914</v>
      </c>
      <c r="C79" s="1" t="n">
        <v>45732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20480-2020</t>
        </is>
      </c>
      <c r="B80" s="1" t="n">
        <v>43948</v>
      </c>
      <c r="C80" s="1" t="n">
        <v>45732</v>
      </c>
      <c r="D80" t="inlineStr">
        <is>
          <t>VÄSTMANLANDS LÄN</t>
        </is>
      </c>
      <c r="E80" t="inlineStr">
        <is>
          <t>NORBERG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20483-2020</t>
        </is>
      </c>
      <c r="B81" s="1" t="n">
        <v>43948</v>
      </c>
      <c r="C81" s="1" t="n">
        <v>45732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22413-2020</t>
        </is>
      </c>
      <c r="B82" s="1" t="n">
        <v>43963</v>
      </c>
      <c r="C82" s="1" t="n">
        <v>45732</v>
      </c>
      <c r="D82" t="inlineStr">
        <is>
          <t>VÄSTMANLANDS LÄN</t>
        </is>
      </c>
      <c r="E82" t="inlineStr">
        <is>
          <t>NORBERG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23517-2020</t>
        </is>
      </c>
      <c r="B83" s="1" t="n">
        <v>43969</v>
      </c>
      <c r="C83" s="1" t="n">
        <v>45732</v>
      </c>
      <c r="D83" t="inlineStr">
        <is>
          <t>VÄSTMANLANDS LÄN</t>
        </is>
      </c>
      <c r="E83" t="inlineStr">
        <is>
          <t>NORBERG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29606-2020</t>
        </is>
      </c>
      <c r="B84" s="1" t="n">
        <v>44005</v>
      </c>
      <c r="C84" s="1" t="n">
        <v>45732</v>
      </c>
      <c r="D84" t="inlineStr">
        <is>
          <t>VÄSTMANLANDS LÄN</t>
        </is>
      </c>
      <c r="E84" t="inlineStr">
        <is>
          <t>NORBERG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31719-2020</t>
        </is>
      </c>
      <c r="B85" s="1" t="n">
        <v>44014</v>
      </c>
      <c r="C85" s="1" t="n">
        <v>45732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36173-2020</t>
        </is>
      </c>
      <c r="B86" s="1" t="n">
        <v>44048</v>
      </c>
      <c r="C86" s="1" t="n">
        <v>45732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44363-2020</t>
        </is>
      </c>
      <c r="B87" s="1" t="n">
        <v>44084</v>
      </c>
      <c r="C87" s="1" t="n">
        <v>45732</v>
      </c>
      <c r="D87" t="inlineStr">
        <is>
          <t>VÄSTMANLANDS LÄN</t>
        </is>
      </c>
      <c r="E87" t="inlineStr">
        <is>
          <t>NORBERG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45800-2020</t>
        </is>
      </c>
      <c r="B88" s="1" t="n">
        <v>44090</v>
      </c>
      <c r="C88" s="1" t="n">
        <v>45732</v>
      </c>
      <c r="D88" t="inlineStr">
        <is>
          <t>VÄSTMANLANDS LÄN</t>
        </is>
      </c>
      <c r="E88" t="inlineStr">
        <is>
          <t>NORBERG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45802-2020</t>
        </is>
      </c>
      <c r="B89" s="1" t="n">
        <v>44090</v>
      </c>
      <c r="C89" s="1" t="n">
        <v>45732</v>
      </c>
      <c r="D89" t="inlineStr">
        <is>
          <t>VÄSTMANLANDS LÄN</t>
        </is>
      </c>
      <c r="E89" t="inlineStr">
        <is>
          <t>NORBERG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47514-2020</t>
        </is>
      </c>
      <c r="B90" s="1" t="n">
        <v>44098</v>
      </c>
      <c r="C90" s="1" t="n">
        <v>45732</v>
      </c>
      <c r="D90" t="inlineStr">
        <is>
          <t>VÄSTMANLANDS LÄN</t>
        </is>
      </c>
      <c r="E90" t="inlineStr">
        <is>
          <t>NORBERG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52006-2020</t>
        </is>
      </c>
      <c r="B91" s="1" t="n">
        <v>44116</v>
      </c>
      <c r="C91" s="1" t="n">
        <v>45732</v>
      </c>
      <c r="D91" t="inlineStr">
        <is>
          <t>VÄSTMANLANDS LÄN</t>
        </is>
      </c>
      <c r="E91" t="inlineStr">
        <is>
          <t>NORBERG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60161-2020</t>
        </is>
      </c>
      <c r="B92" s="1" t="n">
        <v>44151</v>
      </c>
      <c r="C92" s="1" t="n">
        <v>45732</v>
      </c>
      <c r="D92" t="inlineStr">
        <is>
          <t>VÄSTMANLANDS LÄN</t>
        </is>
      </c>
      <c r="E92" t="inlineStr">
        <is>
          <t>NORBERG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60442-2020</t>
        </is>
      </c>
      <c r="B93" s="1" t="n">
        <v>44151</v>
      </c>
      <c r="C93" s="1" t="n">
        <v>45732</v>
      </c>
      <c r="D93" t="inlineStr">
        <is>
          <t>VÄSTMANLANDS LÄN</t>
        </is>
      </c>
      <c r="E93" t="inlineStr">
        <is>
          <t>NORBERG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63718-2020</t>
        </is>
      </c>
      <c r="B94" s="1" t="n">
        <v>44162</v>
      </c>
      <c r="C94" s="1" t="n">
        <v>45732</v>
      </c>
      <c r="D94" t="inlineStr">
        <is>
          <t>VÄSTMANLANDS LÄN</t>
        </is>
      </c>
      <c r="E94" t="inlineStr">
        <is>
          <t>NORBERG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64885-2020</t>
        </is>
      </c>
      <c r="B95" s="1" t="n">
        <v>44171</v>
      </c>
      <c r="C95" s="1" t="n">
        <v>45732</v>
      </c>
      <c r="D95" t="inlineStr">
        <is>
          <t>VÄSTMANLANDS LÄN</t>
        </is>
      </c>
      <c r="E95" t="inlineStr">
        <is>
          <t>NORBERG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69514-2020</t>
        </is>
      </c>
      <c r="B96" s="1" t="n">
        <v>44193</v>
      </c>
      <c r="C96" s="1" t="n">
        <v>45732</v>
      </c>
      <c r="D96" t="inlineStr">
        <is>
          <t>VÄSTMANLANDS LÄN</t>
        </is>
      </c>
      <c r="E96" t="inlineStr">
        <is>
          <t>NORBERG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69450-2020</t>
        </is>
      </c>
      <c r="B97" s="1" t="n">
        <v>44194</v>
      </c>
      <c r="C97" s="1" t="n">
        <v>45732</v>
      </c>
      <c r="D97" t="inlineStr">
        <is>
          <t>VÄSTMANLANDS LÄN</t>
        </is>
      </c>
      <c r="E97" t="inlineStr">
        <is>
          <t>NORBERG</t>
        </is>
      </c>
      <c r="F97" t="inlineStr">
        <is>
          <t>Kyrkan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69590-2020</t>
        </is>
      </c>
      <c r="B98" s="1" t="n">
        <v>44194</v>
      </c>
      <c r="C98" s="1" t="n">
        <v>45732</v>
      </c>
      <c r="D98" t="inlineStr">
        <is>
          <t>VÄSTMANLANDS LÄN</t>
        </is>
      </c>
      <c r="E98" t="inlineStr">
        <is>
          <t>NORBERG</t>
        </is>
      </c>
      <c r="F98" t="inlineStr">
        <is>
          <t>Kyrkan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4183-2021</t>
        </is>
      </c>
      <c r="B99" s="1" t="n">
        <v>44218</v>
      </c>
      <c r="C99" s="1" t="n">
        <v>45732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4471-2021</t>
        </is>
      </c>
      <c r="B100" s="1" t="n">
        <v>44224</v>
      </c>
      <c r="C100" s="1" t="n">
        <v>45732</v>
      </c>
      <c r="D100" t="inlineStr">
        <is>
          <t>VÄSTMANLANDS LÄN</t>
        </is>
      </c>
      <c r="E100" t="inlineStr">
        <is>
          <t>NORBERG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7642-2021</t>
        </is>
      </c>
      <c r="B101" s="1" t="n">
        <v>44239</v>
      </c>
      <c r="C101" s="1" t="n">
        <v>45732</v>
      </c>
      <c r="D101" t="inlineStr">
        <is>
          <t>VÄSTMANLANDS LÄN</t>
        </is>
      </c>
      <c r="E101" t="inlineStr">
        <is>
          <t>NORBERG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8205-2021</t>
        </is>
      </c>
      <c r="B102" s="1" t="n">
        <v>44244</v>
      </c>
      <c r="C102" s="1" t="n">
        <v>45732</v>
      </c>
      <c r="D102" t="inlineStr">
        <is>
          <t>VÄSTMANLANDS LÄN</t>
        </is>
      </c>
      <c r="E102" t="inlineStr">
        <is>
          <t>NORBERG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10339-2021</t>
        </is>
      </c>
      <c r="B103" s="1" t="n">
        <v>44257</v>
      </c>
      <c r="C103" s="1" t="n">
        <v>45732</v>
      </c>
      <c r="D103" t="inlineStr">
        <is>
          <t>VÄSTMANLANDS LÄN</t>
        </is>
      </c>
      <c r="E103" t="inlineStr">
        <is>
          <t>NORBERG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11448-2021</t>
        </is>
      </c>
      <c r="B104" s="1" t="n">
        <v>44264</v>
      </c>
      <c r="C104" s="1" t="n">
        <v>45732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13622-2021</t>
        </is>
      </c>
      <c r="B105" s="1" t="n">
        <v>44274</v>
      </c>
      <c r="C105" s="1" t="n">
        <v>45732</v>
      </c>
      <c r="D105" t="inlineStr">
        <is>
          <t>VÄSTMANLANDS LÄN</t>
        </is>
      </c>
      <c r="E105" t="inlineStr">
        <is>
          <t>NORBERG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14405-2021</t>
        </is>
      </c>
      <c r="B106" s="1" t="n">
        <v>44279</v>
      </c>
      <c r="C106" s="1" t="n">
        <v>45732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17103-2021</t>
        </is>
      </c>
      <c r="B107" s="1" t="n">
        <v>44298</v>
      </c>
      <c r="C107" s="1" t="n">
        <v>45732</v>
      </c>
      <c r="D107" t="inlineStr">
        <is>
          <t>VÄSTMANLANDS LÄN</t>
        </is>
      </c>
      <c r="E107" t="inlineStr">
        <is>
          <t>NORBERG</t>
        </is>
      </c>
      <c r="F107" t="inlineStr">
        <is>
          <t>Övriga Aktiebolag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19030-2021</t>
        </is>
      </c>
      <c r="B108" s="1" t="n">
        <v>44308</v>
      </c>
      <c r="C108" s="1" t="n">
        <v>45732</v>
      </c>
      <c r="D108" t="inlineStr">
        <is>
          <t>VÄSTMANLANDS LÄN</t>
        </is>
      </c>
      <c r="E108" t="inlineStr">
        <is>
          <t>NORBERG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25364-2021</t>
        </is>
      </c>
      <c r="B109" s="1" t="n">
        <v>44342</v>
      </c>
      <c r="C109" s="1" t="n">
        <v>45732</v>
      </c>
      <c r="D109" t="inlineStr">
        <is>
          <t>VÄSTMANLANDS LÄN</t>
        </is>
      </c>
      <c r="E109" t="inlineStr">
        <is>
          <t>NORBERG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26444-2021</t>
        </is>
      </c>
      <c r="B110" s="1" t="n">
        <v>44348</v>
      </c>
      <c r="C110" s="1" t="n">
        <v>45732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26910-2021</t>
        </is>
      </c>
      <c r="B111" s="1" t="n">
        <v>44349</v>
      </c>
      <c r="C111" s="1" t="n">
        <v>45732</v>
      </c>
      <c r="D111" t="inlineStr">
        <is>
          <t>VÄSTMANLANDS LÄN</t>
        </is>
      </c>
      <c r="E111" t="inlineStr">
        <is>
          <t>NORBERG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26891-2021</t>
        </is>
      </c>
      <c r="B112" s="1" t="n">
        <v>44349</v>
      </c>
      <c r="C112" s="1" t="n">
        <v>45732</v>
      </c>
      <c r="D112" t="inlineStr">
        <is>
          <t>VÄSTMANLANDS LÄN</t>
        </is>
      </c>
      <c r="E112" t="inlineStr">
        <is>
          <t>NORBERG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26899-2021</t>
        </is>
      </c>
      <c r="B113" s="1" t="n">
        <v>44349</v>
      </c>
      <c r="C113" s="1" t="n">
        <v>45732</v>
      </c>
      <c r="D113" t="inlineStr">
        <is>
          <t>VÄSTMANLANDS LÄN</t>
        </is>
      </c>
      <c r="E113" t="inlineStr">
        <is>
          <t>NORBERG</t>
        </is>
      </c>
      <c r="G113" t="n">
        <v>4.7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28458-2021</t>
        </is>
      </c>
      <c r="B114" s="1" t="n">
        <v>44356</v>
      </c>
      <c r="C114" s="1" t="n">
        <v>45732</v>
      </c>
      <c r="D114" t="inlineStr">
        <is>
          <t>VÄSTMANLANDS LÄN</t>
        </is>
      </c>
      <c r="E114" t="inlineStr">
        <is>
          <t>NORBERG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29244-2021</t>
        </is>
      </c>
      <c r="B115" s="1" t="n">
        <v>44360</v>
      </c>
      <c r="C115" s="1" t="n">
        <v>45732</v>
      </c>
      <c r="D115" t="inlineStr">
        <is>
          <t>VÄSTMANLANDS LÄN</t>
        </is>
      </c>
      <c r="E115" t="inlineStr">
        <is>
          <t>NORBERG</t>
        </is>
      </c>
      <c r="F115" t="inlineStr">
        <is>
          <t>Kyrkan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31257-2021</t>
        </is>
      </c>
      <c r="B116" s="1" t="n">
        <v>44368</v>
      </c>
      <c r="C116" s="1" t="n">
        <v>45732</v>
      </c>
      <c r="D116" t="inlineStr">
        <is>
          <t>VÄSTMANLANDS LÄN</t>
        </is>
      </c>
      <c r="E116" t="inlineStr">
        <is>
          <t>NORBERG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35656-2021</t>
        </is>
      </c>
      <c r="B117" s="1" t="n">
        <v>44386</v>
      </c>
      <c r="C117" s="1" t="n">
        <v>45732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41518-2021</t>
        </is>
      </c>
      <c r="B118" s="1" t="n">
        <v>44425</v>
      </c>
      <c r="C118" s="1" t="n">
        <v>45732</v>
      </c>
      <c r="D118" t="inlineStr">
        <is>
          <t>VÄSTMANLANDS LÄN</t>
        </is>
      </c>
      <c r="E118" t="inlineStr">
        <is>
          <t>NORBERG</t>
        </is>
      </c>
      <c r="G118" t="n">
        <v>11.5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42699-2021</t>
        </is>
      </c>
      <c r="B119" s="1" t="n">
        <v>44428</v>
      </c>
      <c r="C119" s="1" t="n">
        <v>45732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45929-2021</t>
        </is>
      </c>
      <c r="B120" s="1" t="n">
        <v>44441</v>
      </c>
      <c r="C120" s="1" t="n">
        <v>45732</v>
      </c>
      <c r="D120" t="inlineStr">
        <is>
          <t>VÄSTMANLANDS LÄN</t>
        </is>
      </c>
      <c r="E120" t="inlineStr">
        <is>
          <t>NORBERG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45934-2021</t>
        </is>
      </c>
      <c r="B121" s="1" t="n">
        <v>44441</v>
      </c>
      <c r="C121" s="1" t="n">
        <v>45732</v>
      </c>
      <c r="D121" t="inlineStr">
        <is>
          <t>VÄSTMANLANDS LÄN</t>
        </is>
      </c>
      <c r="E121" t="inlineStr">
        <is>
          <t>NORBERG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48143-2021</t>
        </is>
      </c>
      <c r="B122" s="1" t="n">
        <v>44449</v>
      </c>
      <c r="C122" s="1" t="n">
        <v>45732</v>
      </c>
      <c r="D122" t="inlineStr">
        <is>
          <t>VÄSTMANLANDS LÄN</t>
        </is>
      </c>
      <c r="E122" t="inlineStr">
        <is>
          <t>NORBERG</t>
        </is>
      </c>
      <c r="F122" t="inlineStr">
        <is>
          <t>Bergvik skog väst AB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48544-2021</t>
        </is>
      </c>
      <c r="B123" s="1" t="n">
        <v>44452</v>
      </c>
      <c r="C123" s="1" t="n">
        <v>45732</v>
      </c>
      <c r="D123" t="inlineStr">
        <is>
          <t>VÄSTMANLANDS LÄN</t>
        </is>
      </c>
      <c r="E123" t="inlineStr">
        <is>
          <t>NORBERG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53297-2021</t>
        </is>
      </c>
      <c r="B124" s="1" t="n">
        <v>44467</v>
      </c>
      <c r="C124" s="1" t="n">
        <v>45732</v>
      </c>
      <c r="D124" t="inlineStr">
        <is>
          <t>VÄSTMANLANDS LÄN</t>
        </is>
      </c>
      <c r="E124" t="inlineStr">
        <is>
          <t>NORBERG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54864-2021</t>
        </is>
      </c>
      <c r="B125" s="1" t="n">
        <v>44473</v>
      </c>
      <c r="C125" s="1" t="n">
        <v>45732</v>
      </c>
      <c r="D125" t="inlineStr">
        <is>
          <t>VÄSTMANLANDS LÄN</t>
        </is>
      </c>
      <c r="E125" t="inlineStr">
        <is>
          <t>NORBERG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56940-2021</t>
        </is>
      </c>
      <c r="B126" s="1" t="n">
        <v>44480</v>
      </c>
      <c r="C126" s="1" t="n">
        <v>45732</v>
      </c>
      <c r="D126" t="inlineStr">
        <is>
          <t>VÄSTMANLANDS LÄN</t>
        </is>
      </c>
      <c r="E126" t="inlineStr">
        <is>
          <t>NORBERG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56936-2021</t>
        </is>
      </c>
      <c r="B127" s="1" t="n">
        <v>44480</v>
      </c>
      <c r="C127" s="1" t="n">
        <v>45732</v>
      </c>
      <c r="D127" t="inlineStr">
        <is>
          <t>VÄSTMANLANDS LÄN</t>
        </is>
      </c>
      <c r="E127" t="inlineStr">
        <is>
          <t>NORBERG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56929-2021</t>
        </is>
      </c>
      <c r="B128" s="1" t="n">
        <v>44480</v>
      </c>
      <c r="C128" s="1" t="n">
        <v>45732</v>
      </c>
      <c r="D128" t="inlineStr">
        <is>
          <t>VÄSTMANLANDS LÄN</t>
        </is>
      </c>
      <c r="E128" t="inlineStr">
        <is>
          <t>NORBERG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58514-2021</t>
        </is>
      </c>
      <c r="B129" s="1" t="n">
        <v>44488</v>
      </c>
      <c r="C129" s="1" t="n">
        <v>45732</v>
      </c>
      <c r="D129" t="inlineStr">
        <is>
          <t>VÄSTMANLANDS LÄN</t>
        </is>
      </c>
      <c r="E129" t="inlineStr">
        <is>
          <t>NORBERG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67361-2021</t>
        </is>
      </c>
      <c r="B130" s="1" t="n">
        <v>44523</v>
      </c>
      <c r="C130" s="1" t="n">
        <v>45732</v>
      </c>
      <c r="D130" t="inlineStr">
        <is>
          <t>VÄSTMANLANDS LÄN</t>
        </is>
      </c>
      <c r="E130" t="inlineStr">
        <is>
          <t>NORBERG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67356-2021</t>
        </is>
      </c>
      <c r="B131" s="1" t="n">
        <v>44523</v>
      </c>
      <c r="C131" s="1" t="n">
        <v>45732</v>
      </c>
      <c r="D131" t="inlineStr">
        <is>
          <t>VÄSTMANLANDS LÄN</t>
        </is>
      </c>
      <c r="E131" t="inlineStr">
        <is>
          <t>NORBERG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69758-2021</t>
        </is>
      </c>
      <c r="B132" s="1" t="n">
        <v>44532</v>
      </c>
      <c r="C132" s="1" t="n">
        <v>45732</v>
      </c>
      <c r="D132" t="inlineStr">
        <is>
          <t>VÄSTMANLANDS LÄN</t>
        </is>
      </c>
      <c r="E132" t="inlineStr">
        <is>
          <t>NORBERG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70661-2021</t>
        </is>
      </c>
      <c r="B133" s="1" t="n">
        <v>44537</v>
      </c>
      <c r="C133" s="1" t="n">
        <v>45732</v>
      </c>
      <c r="D133" t="inlineStr">
        <is>
          <t>VÄSTMANLANDS LÄN</t>
        </is>
      </c>
      <c r="E133" t="inlineStr">
        <is>
          <t>NORBERG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73073-2021</t>
        </is>
      </c>
      <c r="B134" s="1" t="n">
        <v>44550</v>
      </c>
      <c r="C134" s="1" t="n">
        <v>45732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73083-2021</t>
        </is>
      </c>
      <c r="B135" s="1" t="n">
        <v>44550</v>
      </c>
      <c r="C135" s="1" t="n">
        <v>45732</v>
      </c>
      <c r="D135" t="inlineStr">
        <is>
          <t>VÄSTMANLANDS LÄN</t>
        </is>
      </c>
      <c r="E135" t="inlineStr">
        <is>
          <t>NORBERG</t>
        </is>
      </c>
      <c r="F135" t="inlineStr">
        <is>
          <t>Bergvik skog väst AB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73797-2021</t>
        </is>
      </c>
      <c r="B136" s="1" t="n">
        <v>44552</v>
      </c>
      <c r="C136" s="1" t="n">
        <v>45732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2312-2022</t>
        </is>
      </c>
      <c r="B137" s="1" t="n">
        <v>44578</v>
      </c>
      <c r="C137" s="1" t="n">
        <v>45732</v>
      </c>
      <c r="D137" t="inlineStr">
        <is>
          <t>VÄSTMANLANDS LÄN</t>
        </is>
      </c>
      <c r="E137" t="inlineStr">
        <is>
          <t>NORBERG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6353-2022</t>
        </is>
      </c>
      <c r="B138" s="1" t="n">
        <v>44600</v>
      </c>
      <c r="C138" s="1" t="n">
        <v>45732</v>
      </c>
      <c r="D138" t="inlineStr">
        <is>
          <t>VÄSTMANLANDS LÄN</t>
        </is>
      </c>
      <c r="E138" t="inlineStr">
        <is>
          <t>NORBERG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9875-2022</t>
        </is>
      </c>
      <c r="B139" s="1" t="n">
        <v>44620</v>
      </c>
      <c r="C139" s="1" t="n">
        <v>45732</v>
      </c>
      <c r="D139" t="inlineStr">
        <is>
          <t>VÄSTMANLANDS LÄN</t>
        </is>
      </c>
      <c r="E139" t="inlineStr">
        <is>
          <t>NORBERG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11099-2022</t>
        </is>
      </c>
      <c r="B140" s="1" t="n">
        <v>44628</v>
      </c>
      <c r="C140" s="1" t="n">
        <v>45732</v>
      </c>
      <c r="D140" t="inlineStr">
        <is>
          <t>VÄSTMANLANDS LÄN</t>
        </is>
      </c>
      <c r="E140" t="inlineStr">
        <is>
          <t>NORBERG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12233-2022</t>
        </is>
      </c>
      <c r="B141" s="1" t="n">
        <v>44635</v>
      </c>
      <c r="C141" s="1" t="n">
        <v>45732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15427-2022</t>
        </is>
      </c>
      <c r="B142" s="1" t="n">
        <v>44659</v>
      </c>
      <c r="C142" s="1" t="n">
        <v>45732</v>
      </c>
      <c r="D142" t="inlineStr">
        <is>
          <t>VÄSTMANLANDS LÄN</t>
        </is>
      </c>
      <c r="E142" t="inlineStr">
        <is>
          <t>NORBERG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18326-2022</t>
        </is>
      </c>
      <c r="B143" s="1" t="n">
        <v>44685</v>
      </c>
      <c r="C143" s="1" t="n">
        <v>45732</v>
      </c>
      <c r="D143" t="inlineStr">
        <is>
          <t>VÄSTMANLANDS LÄN</t>
        </is>
      </c>
      <c r="E143" t="inlineStr">
        <is>
          <t>NORBERG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18673-2022</t>
        </is>
      </c>
      <c r="B144" s="1" t="n">
        <v>44687</v>
      </c>
      <c r="C144" s="1" t="n">
        <v>45732</v>
      </c>
      <c r="D144" t="inlineStr">
        <is>
          <t>VÄSTMANLANDS LÄN</t>
        </is>
      </c>
      <c r="E144" t="inlineStr">
        <is>
          <t>NORBERG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19076-2022</t>
        </is>
      </c>
      <c r="B145" s="1" t="n">
        <v>44691</v>
      </c>
      <c r="C145" s="1" t="n">
        <v>45732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19075-2022</t>
        </is>
      </c>
      <c r="B146" s="1" t="n">
        <v>44691</v>
      </c>
      <c r="C146" s="1" t="n">
        <v>45732</v>
      </c>
      <c r="D146" t="inlineStr">
        <is>
          <t>VÄSTMANLANDS LÄN</t>
        </is>
      </c>
      <c r="E146" t="inlineStr">
        <is>
          <t>NORBERG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19073-2022</t>
        </is>
      </c>
      <c r="B147" s="1" t="n">
        <v>44691</v>
      </c>
      <c r="C147" s="1" t="n">
        <v>45732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19636-2022</t>
        </is>
      </c>
      <c r="B148" s="1" t="n">
        <v>44694</v>
      </c>
      <c r="C148" s="1" t="n">
        <v>45732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20118-2022</t>
        </is>
      </c>
      <c r="B149" s="1" t="n">
        <v>44698</v>
      </c>
      <c r="C149" s="1" t="n">
        <v>45732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20567-2022</t>
        </is>
      </c>
      <c r="B150" s="1" t="n">
        <v>44700</v>
      </c>
      <c r="C150" s="1" t="n">
        <v>45732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23009-2022</t>
        </is>
      </c>
      <c r="B151" s="1" t="n">
        <v>44719</v>
      </c>
      <c r="C151" s="1" t="n">
        <v>45732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18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23043-2022</t>
        </is>
      </c>
      <c r="B152" s="1" t="n">
        <v>44719</v>
      </c>
      <c r="C152" s="1" t="n">
        <v>45732</v>
      </c>
      <c r="D152" t="inlineStr">
        <is>
          <t>VÄSTMANLANDS LÄN</t>
        </is>
      </c>
      <c r="E152" t="inlineStr">
        <is>
          <t>NORBERG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24540-2022</t>
        </is>
      </c>
      <c r="B153" s="1" t="n">
        <v>44727</v>
      </c>
      <c r="C153" s="1" t="n">
        <v>45732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35684-2022</t>
        </is>
      </c>
      <c r="B154" s="1" t="n">
        <v>44799</v>
      </c>
      <c r="C154" s="1" t="n">
        <v>45732</v>
      </c>
      <c r="D154" t="inlineStr">
        <is>
          <t>VÄSTMANLANDS LÄN</t>
        </is>
      </c>
      <c r="E154" t="inlineStr">
        <is>
          <t>NORBERG</t>
        </is>
      </c>
      <c r="F154" t="inlineStr">
        <is>
          <t>Sveaskog</t>
        </is>
      </c>
      <c r="G154" t="n">
        <v>6.8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36838-2022</t>
        </is>
      </c>
      <c r="B155" s="1" t="n">
        <v>44805</v>
      </c>
      <c r="C155" s="1" t="n">
        <v>45732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16.1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36836-2022</t>
        </is>
      </c>
      <c r="B156" s="1" t="n">
        <v>44805</v>
      </c>
      <c r="C156" s="1" t="n">
        <v>45732</v>
      </c>
      <c r="D156" t="inlineStr">
        <is>
          <t>VÄSTMANLANDS LÄN</t>
        </is>
      </c>
      <c r="E156" t="inlineStr">
        <is>
          <t>NORBERG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36839-2022</t>
        </is>
      </c>
      <c r="B157" s="1" t="n">
        <v>44805</v>
      </c>
      <c r="C157" s="1" t="n">
        <v>45732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38725-2022</t>
        </is>
      </c>
      <c r="B158" s="1" t="n">
        <v>44815</v>
      </c>
      <c r="C158" s="1" t="n">
        <v>45732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38905-2022</t>
        </is>
      </c>
      <c r="B159" s="1" t="n">
        <v>44816</v>
      </c>
      <c r="C159" s="1" t="n">
        <v>45732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38906-2022</t>
        </is>
      </c>
      <c r="B160" s="1" t="n">
        <v>44816</v>
      </c>
      <c r="C160" s="1" t="n">
        <v>45732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38903-2022</t>
        </is>
      </c>
      <c r="B161" s="1" t="n">
        <v>44816</v>
      </c>
      <c r="C161" s="1" t="n">
        <v>45732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41739-2022</t>
        </is>
      </c>
      <c r="B162" s="1" t="n">
        <v>44827</v>
      </c>
      <c r="C162" s="1" t="n">
        <v>45732</v>
      </c>
      <c r="D162" t="inlineStr">
        <is>
          <t>VÄSTMANLANDS LÄN</t>
        </is>
      </c>
      <c r="E162" t="inlineStr">
        <is>
          <t>NORBERG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41744-2022</t>
        </is>
      </c>
      <c r="B163" s="1" t="n">
        <v>44827</v>
      </c>
      <c r="C163" s="1" t="n">
        <v>45732</v>
      </c>
      <c r="D163" t="inlineStr">
        <is>
          <t>VÄSTMANLANDS LÄN</t>
        </is>
      </c>
      <c r="E163" t="inlineStr">
        <is>
          <t>NORBERG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41750-2022</t>
        </is>
      </c>
      <c r="B164" s="1" t="n">
        <v>44827</v>
      </c>
      <c r="C164" s="1" t="n">
        <v>45732</v>
      </c>
      <c r="D164" t="inlineStr">
        <is>
          <t>VÄSTMANLANDS LÄN</t>
        </is>
      </c>
      <c r="E164" t="inlineStr">
        <is>
          <t>NORBERG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41742-2022</t>
        </is>
      </c>
      <c r="B165" s="1" t="n">
        <v>44827</v>
      </c>
      <c r="C165" s="1" t="n">
        <v>45732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41748-2022</t>
        </is>
      </c>
      <c r="B166" s="1" t="n">
        <v>44827</v>
      </c>
      <c r="C166" s="1" t="n">
        <v>45732</v>
      </c>
      <c r="D166" t="inlineStr">
        <is>
          <t>VÄSTMANLANDS LÄN</t>
        </is>
      </c>
      <c r="E166" t="inlineStr">
        <is>
          <t>NORBERG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42505-2022</t>
        </is>
      </c>
      <c r="B167" s="1" t="n">
        <v>44831</v>
      </c>
      <c r="C167" s="1" t="n">
        <v>45732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42504-2022</t>
        </is>
      </c>
      <c r="B168" s="1" t="n">
        <v>44831</v>
      </c>
      <c r="C168" s="1" t="n">
        <v>45732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43073-2022</t>
        </is>
      </c>
      <c r="B169" s="1" t="n">
        <v>44833</v>
      </c>
      <c r="C169" s="1" t="n">
        <v>45732</v>
      </c>
      <c r="D169" t="inlineStr">
        <is>
          <t>VÄSTMANLANDS LÄN</t>
        </is>
      </c>
      <c r="E169" t="inlineStr">
        <is>
          <t>NORBERG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43075-2022</t>
        </is>
      </c>
      <c r="B170" s="1" t="n">
        <v>44833</v>
      </c>
      <c r="C170" s="1" t="n">
        <v>45732</v>
      </c>
      <c r="D170" t="inlineStr">
        <is>
          <t>VÄSTMANLANDS LÄN</t>
        </is>
      </c>
      <c r="E170" t="inlineStr">
        <is>
          <t>NORBERG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43072-2022</t>
        </is>
      </c>
      <c r="B171" s="1" t="n">
        <v>44833</v>
      </c>
      <c r="C171" s="1" t="n">
        <v>45732</v>
      </c>
      <c r="D171" t="inlineStr">
        <is>
          <t>VÄSTMANLANDS LÄN</t>
        </is>
      </c>
      <c r="E171" t="inlineStr">
        <is>
          <t>NORBERG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43076-2022</t>
        </is>
      </c>
      <c r="B172" s="1" t="n">
        <v>44833</v>
      </c>
      <c r="C172" s="1" t="n">
        <v>45732</v>
      </c>
      <c r="D172" t="inlineStr">
        <is>
          <t>VÄSTMANLANDS LÄN</t>
        </is>
      </c>
      <c r="E172" t="inlineStr">
        <is>
          <t>NORBERG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44016-2022</t>
        </is>
      </c>
      <c r="B173" s="1" t="n">
        <v>44838</v>
      </c>
      <c r="C173" s="1" t="n">
        <v>45732</v>
      </c>
      <c r="D173" t="inlineStr">
        <is>
          <t>VÄSTMANLANDS LÄN</t>
        </is>
      </c>
      <c r="E173" t="inlineStr">
        <is>
          <t>NORBERG</t>
        </is>
      </c>
      <c r="F173" t="inlineStr">
        <is>
          <t>Sveaskog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44015-2022</t>
        </is>
      </c>
      <c r="B174" s="1" t="n">
        <v>44838</v>
      </c>
      <c r="C174" s="1" t="n">
        <v>45732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45213-2022</t>
        </is>
      </c>
      <c r="B175" s="1" t="n">
        <v>44844</v>
      </c>
      <c r="C175" s="1" t="n">
        <v>45732</v>
      </c>
      <c r="D175" t="inlineStr">
        <is>
          <t>VÄSTMANLANDS LÄN</t>
        </is>
      </c>
      <c r="E175" t="inlineStr">
        <is>
          <t>NORBERG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45738-2022</t>
        </is>
      </c>
      <c r="B176" s="1" t="n">
        <v>44846</v>
      </c>
      <c r="C176" s="1" t="n">
        <v>45732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45740-2022</t>
        </is>
      </c>
      <c r="B177" s="1" t="n">
        <v>44846</v>
      </c>
      <c r="C177" s="1" t="n">
        <v>45732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45737-2022</t>
        </is>
      </c>
      <c r="B178" s="1" t="n">
        <v>44846</v>
      </c>
      <c r="C178" s="1" t="n">
        <v>45732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46369-2022</t>
        </is>
      </c>
      <c r="B179" s="1" t="n">
        <v>44848</v>
      </c>
      <c r="C179" s="1" t="n">
        <v>45732</v>
      </c>
      <c r="D179" t="inlineStr">
        <is>
          <t>VÄSTMANLANDS LÄN</t>
        </is>
      </c>
      <c r="E179" t="inlineStr">
        <is>
          <t>NORBERG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46641-2022</t>
        </is>
      </c>
      <c r="B180" s="1" t="n">
        <v>44849</v>
      </c>
      <c r="C180" s="1" t="n">
        <v>45732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47607-2022</t>
        </is>
      </c>
      <c r="B181" s="1" t="n">
        <v>44852</v>
      </c>
      <c r="C181" s="1" t="n">
        <v>45732</v>
      </c>
      <c r="D181" t="inlineStr">
        <is>
          <t>VÄSTMANLANDS LÄN</t>
        </is>
      </c>
      <c r="E181" t="inlineStr">
        <is>
          <t>NORBERG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47610-2022</t>
        </is>
      </c>
      <c r="B182" s="1" t="n">
        <v>44852</v>
      </c>
      <c r="C182" s="1" t="n">
        <v>45732</v>
      </c>
      <c r="D182" t="inlineStr">
        <is>
          <t>VÄSTMANLANDS LÄN</t>
        </is>
      </c>
      <c r="E182" t="inlineStr">
        <is>
          <t>NORBERG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47599-2022</t>
        </is>
      </c>
      <c r="B183" s="1" t="n">
        <v>44852</v>
      </c>
      <c r="C183" s="1" t="n">
        <v>45732</v>
      </c>
      <c r="D183" t="inlineStr">
        <is>
          <t>VÄSTMANLANDS LÄN</t>
        </is>
      </c>
      <c r="E183" t="inlineStr">
        <is>
          <t>NORBERG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48754-2022</t>
        </is>
      </c>
      <c r="B184" s="1" t="n">
        <v>44859</v>
      </c>
      <c r="C184" s="1" t="n">
        <v>45732</v>
      </c>
      <c r="D184" t="inlineStr">
        <is>
          <t>VÄSTMANLANDS LÄN</t>
        </is>
      </c>
      <c r="E184" t="inlineStr">
        <is>
          <t>NORBERG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48859-2022</t>
        </is>
      </c>
      <c r="B185" s="1" t="n">
        <v>44859</v>
      </c>
      <c r="C185" s="1" t="n">
        <v>45732</v>
      </c>
      <c r="D185" t="inlineStr">
        <is>
          <t>VÄSTMANLANDS LÄN</t>
        </is>
      </c>
      <c r="E185" t="inlineStr">
        <is>
          <t>NORBERG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49143-2022</t>
        </is>
      </c>
      <c r="B186" s="1" t="n">
        <v>44860</v>
      </c>
      <c r="C186" s="1" t="n">
        <v>45732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50124-2022</t>
        </is>
      </c>
      <c r="B187" s="1" t="n">
        <v>44860</v>
      </c>
      <c r="C187" s="1" t="n">
        <v>45732</v>
      </c>
      <c r="D187" t="inlineStr">
        <is>
          <t>VÄSTMANLANDS LÄN</t>
        </is>
      </c>
      <c r="E187" t="inlineStr">
        <is>
          <t>NORBERG</t>
        </is>
      </c>
      <c r="G187" t="n">
        <v>6.8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49163-2022</t>
        </is>
      </c>
      <c r="B188" s="1" t="n">
        <v>44860</v>
      </c>
      <c r="C188" s="1" t="n">
        <v>45732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51415-2022</t>
        </is>
      </c>
      <c r="B189" s="1" t="n">
        <v>44869</v>
      </c>
      <c r="C189" s="1" t="n">
        <v>45732</v>
      </c>
      <c r="D189" t="inlineStr">
        <is>
          <t>VÄSTMANLANDS LÄN</t>
        </is>
      </c>
      <c r="E189" t="inlineStr">
        <is>
          <t>NORBERG</t>
        </is>
      </c>
      <c r="F189" t="inlineStr">
        <is>
          <t>Övriga Aktiebolag</t>
        </is>
      </c>
      <c r="G189" t="n">
        <v>8.300000000000001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52063-2022</t>
        </is>
      </c>
      <c r="B190" s="1" t="n">
        <v>44873</v>
      </c>
      <c r="C190" s="1" t="n">
        <v>45732</v>
      </c>
      <c r="D190" t="inlineStr">
        <is>
          <t>VÄSTMANLANDS LÄN</t>
        </is>
      </c>
      <c r="E190" t="inlineStr">
        <is>
          <t>NORBERG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52068-2022</t>
        </is>
      </c>
      <c r="B191" s="1" t="n">
        <v>44873</v>
      </c>
      <c r="C191" s="1" t="n">
        <v>45732</v>
      </c>
      <c r="D191" t="inlineStr">
        <is>
          <t>VÄSTMANLANDS LÄN</t>
        </is>
      </c>
      <c r="E191" t="inlineStr">
        <is>
          <t>NORBERG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52076-2022</t>
        </is>
      </c>
      <c r="B192" s="1" t="n">
        <v>44873</v>
      </c>
      <c r="C192" s="1" t="n">
        <v>45732</v>
      </c>
      <c r="D192" t="inlineStr">
        <is>
          <t>VÄSTMANLANDS LÄN</t>
        </is>
      </c>
      <c r="E192" t="inlineStr">
        <is>
          <t>NORBERG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56279-2022</t>
        </is>
      </c>
      <c r="B193" s="1" t="n">
        <v>44890</v>
      </c>
      <c r="C193" s="1" t="n">
        <v>45732</v>
      </c>
      <c r="D193" t="inlineStr">
        <is>
          <t>VÄSTMANLANDS LÄN</t>
        </is>
      </c>
      <c r="E193" t="inlineStr">
        <is>
          <t>NORBERG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61745-2022</t>
        </is>
      </c>
      <c r="B194" s="1" t="n">
        <v>44911</v>
      </c>
      <c r="C194" s="1" t="n">
        <v>45732</v>
      </c>
      <c r="D194" t="inlineStr">
        <is>
          <t>VÄSTMANLANDS LÄN</t>
        </is>
      </c>
      <c r="E194" t="inlineStr">
        <is>
          <t>NORBERG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552-2023</t>
        </is>
      </c>
      <c r="B195" s="1" t="n">
        <v>44925</v>
      </c>
      <c r="C195" s="1" t="n">
        <v>45732</v>
      </c>
      <c r="D195" t="inlineStr">
        <is>
          <t>VÄSTMANLANDS LÄN</t>
        </is>
      </c>
      <c r="E195" t="inlineStr">
        <is>
          <t>NORBERG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559-2023</t>
        </is>
      </c>
      <c r="B196" s="1" t="n">
        <v>44925</v>
      </c>
      <c r="C196" s="1" t="n">
        <v>45732</v>
      </c>
      <c r="D196" t="inlineStr">
        <is>
          <t>VÄSTMANLANDS LÄN</t>
        </is>
      </c>
      <c r="E196" t="inlineStr">
        <is>
          <t>NORBERG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1814-2023</t>
        </is>
      </c>
      <c r="B197" s="1" t="n">
        <v>44938</v>
      </c>
      <c r="C197" s="1" t="n">
        <v>45732</v>
      </c>
      <c r="D197" t="inlineStr">
        <is>
          <t>VÄSTMANLANDS LÄN</t>
        </is>
      </c>
      <c r="E197" t="inlineStr">
        <is>
          <t>NORBERG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7744-2023</t>
        </is>
      </c>
      <c r="B198" s="1" t="n">
        <v>44973</v>
      </c>
      <c r="C198" s="1" t="n">
        <v>45732</v>
      </c>
      <c r="D198" t="inlineStr">
        <is>
          <t>VÄSTMANLANDS LÄN</t>
        </is>
      </c>
      <c r="E198" t="inlineStr">
        <is>
          <t>NORBERG</t>
        </is>
      </c>
      <c r="F198" t="inlineStr">
        <is>
          <t>Övriga Aktiebolag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8746-2023</t>
        </is>
      </c>
      <c r="B199" s="1" t="n">
        <v>44973</v>
      </c>
      <c r="C199" s="1" t="n">
        <v>45732</v>
      </c>
      <c r="D199" t="inlineStr">
        <is>
          <t>VÄSTMANLANDS LÄN</t>
        </is>
      </c>
      <c r="E199" t="inlineStr">
        <is>
          <t>NORBERG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8744-2023</t>
        </is>
      </c>
      <c r="B200" s="1" t="n">
        <v>44973</v>
      </c>
      <c r="C200" s="1" t="n">
        <v>45732</v>
      </c>
      <c r="D200" t="inlineStr">
        <is>
          <t>VÄSTMANLANDS LÄN</t>
        </is>
      </c>
      <c r="E200" t="inlineStr">
        <is>
          <t>NORBERG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10378-2023</t>
        </is>
      </c>
      <c r="B201" s="1" t="n">
        <v>44987</v>
      </c>
      <c r="C201" s="1" t="n">
        <v>45732</v>
      </c>
      <c r="D201" t="inlineStr">
        <is>
          <t>VÄSTMANLANDS LÄN</t>
        </is>
      </c>
      <c r="E201" t="inlineStr">
        <is>
          <t>NORBERG</t>
        </is>
      </c>
      <c r="F201" t="inlineStr">
        <is>
          <t>Övriga Aktiebolag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11099-2023</t>
        </is>
      </c>
      <c r="B202" s="1" t="n">
        <v>44992</v>
      </c>
      <c r="C202" s="1" t="n">
        <v>45732</v>
      </c>
      <c r="D202" t="inlineStr">
        <is>
          <t>VÄSTMANLANDS LÄN</t>
        </is>
      </c>
      <c r="E202" t="inlineStr">
        <is>
          <t>NORBERG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11664-2023</t>
        </is>
      </c>
      <c r="B203" s="1" t="n">
        <v>44992</v>
      </c>
      <c r="C203" s="1" t="n">
        <v>45732</v>
      </c>
      <c r="D203" t="inlineStr">
        <is>
          <t>VÄSTMANLANDS LÄN</t>
        </is>
      </c>
      <c r="E203" t="inlineStr">
        <is>
          <t>NORBERG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12170-2023</t>
        </is>
      </c>
      <c r="B204" s="1" t="n">
        <v>44998</v>
      </c>
      <c r="C204" s="1" t="n">
        <v>45732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12130-2023</t>
        </is>
      </c>
      <c r="B205" s="1" t="n">
        <v>44998</v>
      </c>
      <c r="C205" s="1" t="n">
        <v>45732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12171-2023</t>
        </is>
      </c>
      <c r="B206" s="1" t="n">
        <v>44998</v>
      </c>
      <c r="C206" s="1" t="n">
        <v>45732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12796-2023</t>
        </is>
      </c>
      <c r="B207" s="1" t="n">
        <v>45001</v>
      </c>
      <c r="C207" s="1" t="n">
        <v>45732</v>
      </c>
      <c r="D207" t="inlineStr">
        <is>
          <t>VÄSTMANLANDS LÄN</t>
        </is>
      </c>
      <c r="E207" t="inlineStr">
        <is>
          <t>NORBERG</t>
        </is>
      </c>
      <c r="G207" t="n">
        <v>22.4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13454-2023</t>
        </is>
      </c>
      <c r="B208" s="1" t="n">
        <v>45005</v>
      </c>
      <c r="C208" s="1" t="n">
        <v>45732</v>
      </c>
      <c r="D208" t="inlineStr">
        <is>
          <t>VÄSTMANLANDS LÄN</t>
        </is>
      </c>
      <c r="E208" t="inlineStr">
        <is>
          <t>NORBERG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13453-2023</t>
        </is>
      </c>
      <c r="B209" s="1" t="n">
        <v>45005</v>
      </c>
      <c r="C209" s="1" t="n">
        <v>45732</v>
      </c>
      <c r="D209" t="inlineStr">
        <is>
          <t>VÄSTMANLANDS LÄN</t>
        </is>
      </c>
      <c r="E209" t="inlineStr">
        <is>
          <t>NORBERG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14033-2023</t>
        </is>
      </c>
      <c r="B210" s="1" t="n">
        <v>45007</v>
      </c>
      <c r="C210" s="1" t="n">
        <v>45732</v>
      </c>
      <c r="D210" t="inlineStr">
        <is>
          <t>VÄSTMANLANDS LÄN</t>
        </is>
      </c>
      <c r="E210" t="inlineStr">
        <is>
          <t>NORBERG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13904-2023</t>
        </is>
      </c>
      <c r="B211" s="1" t="n">
        <v>45008</v>
      </c>
      <c r="C211" s="1" t="n">
        <v>45732</v>
      </c>
      <c r="D211" t="inlineStr">
        <is>
          <t>VÄSTMANLANDS LÄN</t>
        </is>
      </c>
      <c r="E211" t="inlineStr">
        <is>
          <t>NORBERG</t>
        </is>
      </c>
      <c r="F211" t="inlineStr">
        <is>
          <t>Sveaskog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14617-2023</t>
        </is>
      </c>
      <c r="B212" s="1" t="n">
        <v>45013</v>
      </c>
      <c r="C212" s="1" t="n">
        <v>45732</v>
      </c>
      <c r="D212" t="inlineStr">
        <is>
          <t>VÄSTMANLANDS LÄN</t>
        </is>
      </c>
      <c r="E212" t="inlineStr">
        <is>
          <t>NORBERG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14616-2023</t>
        </is>
      </c>
      <c r="B213" s="1" t="n">
        <v>45013</v>
      </c>
      <c r="C213" s="1" t="n">
        <v>45732</v>
      </c>
      <c r="D213" t="inlineStr">
        <is>
          <t>VÄSTMANLANDS LÄN</t>
        </is>
      </c>
      <c r="E213" t="inlineStr">
        <is>
          <t>NORBERG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14827-2023</t>
        </is>
      </c>
      <c r="B214" s="1" t="n">
        <v>45013</v>
      </c>
      <c r="C214" s="1" t="n">
        <v>45732</v>
      </c>
      <c r="D214" t="inlineStr">
        <is>
          <t>VÄSTMANLANDS LÄN</t>
        </is>
      </c>
      <c r="E214" t="inlineStr">
        <is>
          <t>NORBERG</t>
        </is>
      </c>
      <c r="G214" t="n">
        <v>17.9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14903-2023</t>
        </is>
      </c>
      <c r="B215" s="1" t="n">
        <v>45014</v>
      </c>
      <c r="C215" s="1" t="n">
        <v>45732</v>
      </c>
      <c r="D215" t="inlineStr">
        <is>
          <t>VÄSTMANLANDS LÄN</t>
        </is>
      </c>
      <c r="E215" t="inlineStr">
        <is>
          <t>NORBERG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14904-2023</t>
        </is>
      </c>
      <c r="B216" s="1" t="n">
        <v>45014</v>
      </c>
      <c r="C216" s="1" t="n">
        <v>45732</v>
      </c>
      <c r="D216" t="inlineStr">
        <is>
          <t>VÄSTMANLANDS LÄN</t>
        </is>
      </c>
      <c r="E216" t="inlineStr">
        <is>
          <t>NORBERG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15083-2023</t>
        </is>
      </c>
      <c r="B217" s="1" t="n">
        <v>45016</v>
      </c>
      <c r="C217" s="1" t="n">
        <v>45732</v>
      </c>
      <c r="D217" t="inlineStr">
        <is>
          <t>VÄSTMANLANDS LÄN</t>
        </is>
      </c>
      <c r="E217" t="inlineStr">
        <is>
          <t>NORBERG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15084-2023</t>
        </is>
      </c>
      <c r="B218" s="1" t="n">
        <v>45016</v>
      </c>
      <c r="C218" s="1" t="n">
        <v>45732</v>
      </c>
      <c r="D218" t="inlineStr">
        <is>
          <t>VÄSTMANLANDS LÄN</t>
        </is>
      </c>
      <c r="E218" t="inlineStr">
        <is>
          <t>NORBERG</t>
        </is>
      </c>
      <c r="F218" t="inlineStr">
        <is>
          <t>Bergvik skog väst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15098-2023</t>
        </is>
      </c>
      <c r="B219" s="1" t="n">
        <v>45016</v>
      </c>
      <c r="C219" s="1" t="n">
        <v>45732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5.6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15431-2023</t>
        </is>
      </c>
      <c r="B220" s="1" t="n">
        <v>45020</v>
      </c>
      <c r="C220" s="1" t="n">
        <v>45732</v>
      </c>
      <c r="D220" t="inlineStr">
        <is>
          <t>VÄSTMANLANDS LÄN</t>
        </is>
      </c>
      <c r="E220" t="inlineStr">
        <is>
          <t>NORBERG</t>
        </is>
      </c>
      <c r="F220" t="inlineStr">
        <is>
          <t>Övriga Aktiebolag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15429-2023</t>
        </is>
      </c>
      <c r="B221" s="1" t="n">
        <v>45020</v>
      </c>
      <c r="C221" s="1" t="n">
        <v>45732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16103-2023</t>
        </is>
      </c>
      <c r="B222" s="1" t="n">
        <v>45021</v>
      </c>
      <c r="C222" s="1" t="n">
        <v>45732</v>
      </c>
      <c r="D222" t="inlineStr">
        <is>
          <t>VÄSTMANLANDS LÄN</t>
        </is>
      </c>
      <c r="E222" t="inlineStr">
        <is>
          <t>NORBERG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16105-2023</t>
        </is>
      </c>
      <c r="B223" s="1" t="n">
        <v>45021</v>
      </c>
      <c r="C223" s="1" t="n">
        <v>45732</v>
      </c>
      <c r="D223" t="inlineStr">
        <is>
          <t>VÄSTMANLANDS LÄN</t>
        </is>
      </c>
      <c r="E223" t="inlineStr">
        <is>
          <t>NORBERG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16225-2023</t>
        </is>
      </c>
      <c r="B224" s="1" t="n">
        <v>45028</v>
      </c>
      <c r="C224" s="1" t="n">
        <v>45732</v>
      </c>
      <c r="D224" t="inlineStr">
        <is>
          <t>VÄSTMANLANDS LÄN</t>
        </is>
      </c>
      <c r="E224" t="inlineStr">
        <is>
          <t>NORBERG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16396-2023</t>
        </is>
      </c>
      <c r="B225" s="1" t="n">
        <v>45029</v>
      </c>
      <c r="C225" s="1" t="n">
        <v>45732</v>
      </c>
      <c r="D225" t="inlineStr">
        <is>
          <t>VÄSTMANLANDS LÄN</t>
        </is>
      </c>
      <c r="E225" t="inlineStr">
        <is>
          <t>NORBERG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16953-2023</t>
        </is>
      </c>
      <c r="B226" s="1" t="n">
        <v>45029</v>
      </c>
      <c r="C226" s="1" t="n">
        <v>45732</v>
      </c>
      <c r="D226" t="inlineStr">
        <is>
          <t>VÄSTMANLANDS LÄN</t>
        </is>
      </c>
      <c r="E226" t="inlineStr">
        <is>
          <t>NORBERG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16955-2023</t>
        </is>
      </c>
      <c r="B227" s="1" t="n">
        <v>45029</v>
      </c>
      <c r="C227" s="1" t="n">
        <v>45732</v>
      </c>
      <c r="D227" t="inlineStr">
        <is>
          <t>VÄSTMANLANDS LÄN</t>
        </is>
      </c>
      <c r="E227" t="inlineStr">
        <is>
          <t>NORBERG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17038-2023</t>
        </is>
      </c>
      <c r="B228" s="1" t="n">
        <v>45034</v>
      </c>
      <c r="C228" s="1" t="n">
        <v>45732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17075-2023</t>
        </is>
      </c>
      <c r="B229" s="1" t="n">
        <v>45034</v>
      </c>
      <c r="C229" s="1" t="n">
        <v>45732</v>
      </c>
      <c r="D229" t="inlineStr">
        <is>
          <t>VÄSTMANLANDS LÄN</t>
        </is>
      </c>
      <c r="E229" t="inlineStr">
        <is>
          <t>NORBERG</t>
        </is>
      </c>
      <c r="F229" t="inlineStr">
        <is>
          <t>Bergvik skog väst AB</t>
        </is>
      </c>
      <c r="G229" t="n">
        <v>8.1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17990-2023</t>
        </is>
      </c>
      <c r="B230" s="1" t="n">
        <v>45040</v>
      </c>
      <c r="C230" s="1" t="n">
        <v>45732</v>
      </c>
      <c r="D230" t="inlineStr">
        <is>
          <t>VÄSTMANLANDS LÄN</t>
        </is>
      </c>
      <c r="E230" t="inlineStr">
        <is>
          <t>NORBERG</t>
        </is>
      </c>
      <c r="G230" t="n">
        <v>11.9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18194-2023</t>
        </is>
      </c>
      <c r="B231" s="1" t="n">
        <v>45041</v>
      </c>
      <c r="C231" s="1" t="n">
        <v>45732</v>
      </c>
      <c r="D231" t="inlineStr">
        <is>
          <t>VÄSTMANLANDS LÄN</t>
        </is>
      </c>
      <c r="E231" t="inlineStr">
        <is>
          <t>NORBERG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18384-2023</t>
        </is>
      </c>
      <c r="B232" s="1" t="n">
        <v>45042</v>
      </c>
      <c r="C232" s="1" t="n">
        <v>45732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18745-2023</t>
        </is>
      </c>
      <c r="B233" s="1" t="n">
        <v>45043</v>
      </c>
      <c r="C233" s="1" t="n">
        <v>45732</v>
      </c>
      <c r="D233" t="inlineStr">
        <is>
          <t>VÄSTMANLANDS LÄN</t>
        </is>
      </c>
      <c r="E233" t="inlineStr">
        <is>
          <t>NORBERG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18744-2023</t>
        </is>
      </c>
      <c r="B234" s="1" t="n">
        <v>45043</v>
      </c>
      <c r="C234" s="1" t="n">
        <v>45732</v>
      </c>
      <c r="D234" t="inlineStr">
        <is>
          <t>VÄSTMANLANDS LÄN</t>
        </is>
      </c>
      <c r="E234" t="inlineStr">
        <is>
          <t>NORBERG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19019-2023</t>
        </is>
      </c>
      <c r="B235" s="1" t="n">
        <v>45047</v>
      </c>
      <c r="C235" s="1" t="n">
        <v>45732</v>
      </c>
      <c r="D235" t="inlineStr">
        <is>
          <t>VÄSTMANLANDS LÄN</t>
        </is>
      </c>
      <c r="E235" t="inlineStr">
        <is>
          <t>NORBERG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19020-2023</t>
        </is>
      </c>
      <c r="B236" s="1" t="n">
        <v>45047</v>
      </c>
      <c r="C236" s="1" t="n">
        <v>45732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19254-2023</t>
        </is>
      </c>
      <c r="B237" s="1" t="n">
        <v>45049</v>
      </c>
      <c r="C237" s="1" t="n">
        <v>45732</v>
      </c>
      <c r="D237" t="inlineStr">
        <is>
          <t>VÄSTMANLANDS LÄN</t>
        </is>
      </c>
      <c r="E237" t="inlineStr">
        <is>
          <t>NORBERG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19253-2023</t>
        </is>
      </c>
      <c r="B238" s="1" t="n">
        <v>45049</v>
      </c>
      <c r="C238" s="1" t="n">
        <v>45732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20381-2023</t>
        </is>
      </c>
      <c r="B239" s="1" t="n">
        <v>45056</v>
      </c>
      <c r="C239" s="1" t="n">
        <v>45732</v>
      </c>
      <c r="D239" t="inlineStr">
        <is>
          <t>VÄSTMANLANDS LÄN</t>
        </is>
      </c>
      <c r="E239" t="inlineStr">
        <is>
          <t>NORBERG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20378-2023</t>
        </is>
      </c>
      <c r="B240" s="1" t="n">
        <v>45056</v>
      </c>
      <c r="C240" s="1" t="n">
        <v>45732</v>
      </c>
      <c r="D240" t="inlineStr">
        <is>
          <t>VÄSTMANLANDS LÄN</t>
        </is>
      </c>
      <c r="E240" t="inlineStr">
        <is>
          <t>NORBERG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21528-2023</t>
        </is>
      </c>
      <c r="B241" s="1" t="n">
        <v>45063</v>
      </c>
      <c r="C241" s="1" t="n">
        <v>45732</v>
      </c>
      <c r="D241" t="inlineStr">
        <is>
          <t>VÄSTMANLANDS LÄN</t>
        </is>
      </c>
      <c r="E241" t="inlineStr">
        <is>
          <t>NORBERG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21543-2023</t>
        </is>
      </c>
      <c r="B242" s="1" t="n">
        <v>45063</v>
      </c>
      <c r="C242" s="1" t="n">
        <v>45732</v>
      </c>
      <c r="D242" t="inlineStr">
        <is>
          <t>VÄSTMANLANDS LÄN</t>
        </is>
      </c>
      <c r="E242" t="inlineStr">
        <is>
          <t>NORBERG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23542-2023</t>
        </is>
      </c>
      <c r="B243" s="1" t="n">
        <v>45077</v>
      </c>
      <c r="C243" s="1" t="n">
        <v>45732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23616-2023</t>
        </is>
      </c>
      <c r="B244" s="1" t="n">
        <v>45077</v>
      </c>
      <c r="C244" s="1" t="n">
        <v>45732</v>
      </c>
      <c r="D244" t="inlineStr">
        <is>
          <t>VÄSTMANLANDS LÄN</t>
        </is>
      </c>
      <c r="E244" t="inlineStr">
        <is>
          <t>NORBERG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23791-2023</t>
        </is>
      </c>
      <c r="B245" s="1" t="n">
        <v>45078</v>
      </c>
      <c r="C245" s="1" t="n">
        <v>45732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23917-2023</t>
        </is>
      </c>
      <c r="B246" s="1" t="n">
        <v>45078</v>
      </c>
      <c r="C246" s="1" t="n">
        <v>45732</v>
      </c>
      <c r="D246" t="inlineStr">
        <is>
          <t>VÄSTMANLANDS LÄN</t>
        </is>
      </c>
      <c r="E246" t="inlineStr">
        <is>
          <t>NORBERG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24606-2023</t>
        </is>
      </c>
      <c r="B247" s="1" t="n">
        <v>45084</v>
      </c>
      <c r="C247" s="1" t="n">
        <v>45732</v>
      </c>
      <c r="D247" t="inlineStr">
        <is>
          <t>VÄSTMANLANDS LÄN</t>
        </is>
      </c>
      <c r="E247" t="inlineStr">
        <is>
          <t>NORBERG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25761-2023</t>
        </is>
      </c>
      <c r="B248" s="1" t="n">
        <v>45084</v>
      </c>
      <c r="C248" s="1" t="n">
        <v>45732</v>
      </c>
      <c r="D248" t="inlineStr">
        <is>
          <t>VÄSTMANLANDS LÄN</t>
        </is>
      </c>
      <c r="E248" t="inlineStr">
        <is>
          <t>NORBERG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25477-2023</t>
        </is>
      </c>
      <c r="B249" s="1" t="n">
        <v>45089</v>
      </c>
      <c r="C249" s="1" t="n">
        <v>45732</v>
      </c>
      <c r="D249" t="inlineStr">
        <is>
          <t>VÄSTMANLANDS LÄN</t>
        </is>
      </c>
      <c r="E249" t="inlineStr">
        <is>
          <t>NORBERG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25540-2023</t>
        </is>
      </c>
      <c r="B250" s="1" t="n">
        <v>45089</v>
      </c>
      <c r="C250" s="1" t="n">
        <v>45732</v>
      </c>
      <c r="D250" t="inlineStr">
        <is>
          <t>VÄSTMANLANDS LÄN</t>
        </is>
      </c>
      <c r="E250" t="inlineStr">
        <is>
          <t>NORBERG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26069-2023</t>
        </is>
      </c>
      <c r="B251" s="1" t="n">
        <v>45091</v>
      </c>
      <c r="C251" s="1" t="n">
        <v>45732</v>
      </c>
      <c r="D251" t="inlineStr">
        <is>
          <t>VÄSTMANLANDS LÄN</t>
        </is>
      </c>
      <c r="E251" t="inlineStr">
        <is>
          <t>NORBERG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26068-2023</t>
        </is>
      </c>
      <c r="B252" s="1" t="n">
        <v>45091</v>
      </c>
      <c r="C252" s="1" t="n">
        <v>45732</v>
      </c>
      <c r="D252" t="inlineStr">
        <is>
          <t>VÄSTMANLANDS LÄN</t>
        </is>
      </c>
      <c r="E252" t="inlineStr">
        <is>
          <t>NORBERG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26072-2023</t>
        </is>
      </c>
      <c r="B253" s="1" t="n">
        <v>45091</v>
      </c>
      <c r="C253" s="1" t="n">
        <v>45732</v>
      </c>
      <c r="D253" t="inlineStr">
        <is>
          <t>VÄSTMANLANDS LÄN</t>
        </is>
      </c>
      <c r="E253" t="inlineStr">
        <is>
          <t>NORBERG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26066-2023</t>
        </is>
      </c>
      <c r="B254" s="1" t="n">
        <v>45091</v>
      </c>
      <c r="C254" s="1" t="n">
        <v>45732</v>
      </c>
      <c r="D254" t="inlineStr">
        <is>
          <t>VÄSTMANLANDS LÄN</t>
        </is>
      </c>
      <c r="E254" t="inlineStr">
        <is>
          <t>NORBERG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26802-2023</t>
        </is>
      </c>
      <c r="B255" s="1" t="n">
        <v>45093</v>
      </c>
      <c r="C255" s="1" t="n">
        <v>45732</v>
      </c>
      <c r="D255" t="inlineStr">
        <is>
          <t>VÄSTMANLANDS LÄN</t>
        </is>
      </c>
      <c r="E255" t="inlineStr">
        <is>
          <t>NORBERG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27635-2023</t>
        </is>
      </c>
      <c r="B256" s="1" t="n">
        <v>45093</v>
      </c>
      <c r="C256" s="1" t="n">
        <v>45732</v>
      </c>
      <c r="D256" t="inlineStr">
        <is>
          <t>VÄSTMANLANDS LÄN</t>
        </is>
      </c>
      <c r="E256" t="inlineStr">
        <is>
          <t>NORBERG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28589-2023</t>
        </is>
      </c>
      <c r="B257" s="1" t="n">
        <v>45103</v>
      </c>
      <c r="C257" s="1" t="n">
        <v>45732</v>
      </c>
      <c r="D257" t="inlineStr">
        <is>
          <t>VÄSTMANLANDS LÄN</t>
        </is>
      </c>
      <c r="E257" t="inlineStr">
        <is>
          <t>NORBERG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32686-2023</t>
        </is>
      </c>
      <c r="B258" s="1" t="n">
        <v>45112</v>
      </c>
      <c r="C258" s="1" t="n">
        <v>45732</v>
      </c>
      <c r="D258" t="inlineStr">
        <is>
          <t>VÄSTMANLANDS LÄN</t>
        </is>
      </c>
      <c r="E258" t="inlineStr">
        <is>
          <t>NORBERG</t>
        </is>
      </c>
      <c r="F258" t="inlineStr">
        <is>
          <t>Bergvik skog väst AB</t>
        </is>
      </c>
      <c r="G258" t="n">
        <v>9.6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32093-2023</t>
        </is>
      </c>
      <c r="B259" s="1" t="n">
        <v>45119</v>
      </c>
      <c r="C259" s="1" t="n">
        <v>45732</v>
      </c>
      <c r="D259" t="inlineStr">
        <is>
          <t>VÄSTMANLANDS LÄN</t>
        </is>
      </c>
      <c r="E259" t="inlineStr">
        <is>
          <t>NORBERG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32524-2023</t>
        </is>
      </c>
      <c r="B260" s="1" t="n">
        <v>45121</v>
      </c>
      <c r="C260" s="1" t="n">
        <v>45732</v>
      </c>
      <c r="D260" t="inlineStr">
        <is>
          <t>VÄSTMANLANDS LÄN</t>
        </is>
      </c>
      <c r="E260" t="inlineStr">
        <is>
          <t>NORBERG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32529-2023</t>
        </is>
      </c>
      <c r="B261" s="1" t="n">
        <v>45121</v>
      </c>
      <c r="C261" s="1" t="n">
        <v>45732</v>
      </c>
      <c r="D261" t="inlineStr">
        <is>
          <t>VÄSTMANLANDS LÄN</t>
        </is>
      </c>
      <c r="E261" t="inlineStr">
        <is>
          <t>NORBERG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32513-2023</t>
        </is>
      </c>
      <c r="B262" s="1" t="n">
        <v>45121</v>
      </c>
      <c r="C262" s="1" t="n">
        <v>45732</v>
      </c>
      <c r="D262" t="inlineStr">
        <is>
          <t>VÄSTMANLANDS LÄN</t>
        </is>
      </c>
      <c r="E262" t="inlineStr">
        <is>
          <t>NORBERG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32516-2023</t>
        </is>
      </c>
      <c r="B263" s="1" t="n">
        <v>45121</v>
      </c>
      <c r="C263" s="1" t="n">
        <v>45732</v>
      </c>
      <c r="D263" t="inlineStr">
        <is>
          <t>VÄSTMANLANDS LÄN</t>
        </is>
      </c>
      <c r="E263" t="inlineStr">
        <is>
          <t>NORBERG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33909-2023</t>
        </is>
      </c>
      <c r="B264" s="1" t="n">
        <v>45122</v>
      </c>
      <c r="C264" s="1" t="n">
        <v>45732</v>
      </c>
      <c r="D264" t="inlineStr">
        <is>
          <t>VÄSTMANLANDS LÄN</t>
        </is>
      </c>
      <c r="E264" t="inlineStr">
        <is>
          <t>NORBERG</t>
        </is>
      </c>
      <c r="G264" t="n">
        <v>10.8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33378-2023</t>
        </is>
      </c>
      <c r="B265" s="1" t="n">
        <v>45128</v>
      </c>
      <c r="C265" s="1" t="n">
        <v>45732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33379-2023</t>
        </is>
      </c>
      <c r="B266" s="1" t="n">
        <v>45128</v>
      </c>
      <c r="C266" s="1" t="n">
        <v>45732</v>
      </c>
      <c r="D266" t="inlineStr">
        <is>
          <t>VÄSTMANLANDS LÄN</t>
        </is>
      </c>
      <c r="E266" t="inlineStr">
        <is>
          <t>NORBERG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33376-2023</t>
        </is>
      </c>
      <c r="B267" s="1" t="n">
        <v>45128</v>
      </c>
      <c r="C267" s="1" t="n">
        <v>45732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34967-2023</t>
        </is>
      </c>
      <c r="B268" s="1" t="n">
        <v>45142</v>
      </c>
      <c r="C268" s="1" t="n">
        <v>45732</v>
      </c>
      <c r="D268" t="inlineStr">
        <is>
          <t>VÄSTMANLANDS LÄN</t>
        </is>
      </c>
      <c r="E268" t="inlineStr">
        <is>
          <t>NORBERG</t>
        </is>
      </c>
      <c r="F268" t="inlineStr">
        <is>
          <t>Kyrkan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36905-2023</t>
        </is>
      </c>
      <c r="B269" s="1" t="n">
        <v>45154</v>
      </c>
      <c r="C269" s="1" t="n">
        <v>45732</v>
      </c>
      <c r="D269" t="inlineStr">
        <is>
          <t>VÄSTMANLANDS LÄN</t>
        </is>
      </c>
      <c r="E269" t="inlineStr">
        <is>
          <t>NORBERG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37017-2023</t>
        </is>
      </c>
      <c r="B270" s="1" t="n">
        <v>45155</v>
      </c>
      <c r="C270" s="1" t="n">
        <v>45732</v>
      </c>
      <c r="D270" t="inlineStr">
        <is>
          <t>VÄSTMANLANDS LÄN</t>
        </is>
      </c>
      <c r="E270" t="inlineStr">
        <is>
          <t>NORBERG</t>
        </is>
      </c>
      <c r="F270" t="inlineStr">
        <is>
          <t>Övriga Aktiebolag</t>
        </is>
      </c>
      <c r="G270" t="n">
        <v>15.9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37011-2023</t>
        </is>
      </c>
      <c r="B271" s="1" t="n">
        <v>45155</v>
      </c>
      <c r="C271" s="1" t="n">
        <v>45732</v>
      </c>
      <c r="D271" t="inlineStr">
        <is>
          <t>VÄSTMANLANDS LÄN</t>
        </is>
      </c>
      <c r="E271" t="inlineStr">
        <is>
          <t>NORBERG</t>
        </is>
      </c>
      <c r="F271" t="inlineStr">
        <is>
          <t>Övriga Aktiebolag</t>
        </is>
      </c>
      <c r="G271" t="n">
        <v>7.6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37200-2023</t>
        </is>
      </c>
      <c r="B272" s="1" t="n">
        <v>45155</v>
      </c>
      <c r="C272" s="1" t="n">
        <v>45732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37198-2023</t>
        </is>
      </c>
      <c r="B273" s="1" t="n">
        <v>45155</v>
      </c>
      <c r="C273" s="1" t="n">
        <v>45732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40138-2023</t>
        </is>
      </c>
      <c r="B274" s="1" t="n">
        <v>45169</v>
      </c>
      <c r="C274" s="1" t="n">
        <v>45732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40144-2023</t>
        </is>
      </c>
      <c r="B275" s="1" t="n">
        <v>45169</v>
      </c>
      <c r="C275" s="1" t="n">
        <v>45732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40140-2023</t>
        </is>
      </c>
      <c r="B276" s="1" t="n">
        <v>45169</v>
      </c>
      <c r="C276" s="1" t="n">
        <v>45732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40145-2023</t>
        </is>
      </c>
      <c r="B277" s="1" t="n">
        <v>45169</v>
      </c>
      <c r="C277" s="1" t="n">
        <v>45732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40141-2023</t>
        </is>
      </c>
      <c r="B278" s="1" t="n">
        <v>45169</v>
      </c>
      <c r="C278" s="1" t="n">
        <v>45732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40153-2023</t>
        </is>
      </c>
      <c r="B279" s="1" t="n">
        <v>45169</v>
      </c>
      <c r="C279" s="1" t="n">
        <v>45732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40150-2023</t>
        </is>
      </c>
      <c r="B280" s="1" t="n">
        <v>45169</v>
      </c>
      <c r="C280" s="1" t="n">
        <v>45732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40154-2023</t>
        </is>
      </c>
      <c r="B281" s="1" t="n">
        <v>45169</v>
      </c>
      <c r="C281" s="1" t="n">
        <v>45732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40893-2023</t>
        </is>
      </c>
      <c r="B282" s="1" t="n">
        <v>45173</v>
      </c>
      <c r="C282" s="1" t="n">
        <v>45732</v>
      </c>
      <c r="D282" t="inlineStr">
        <is>
          <t>VÄSTMANLANDS LÄN</t>
        </is>
      </c>
      <c r="E282" t="inlineStr">
        <is>
          <t>NORBERG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42195-2023</t>
        </is>
      </c>
      <c r="B283" s="1" t="n">
        <v>45179</v>
      </c>
      <c r="C283" s="1" t="n">
        <v>45732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42197-2023</t>
        </is>
      </c>
      <c r="B284" s="1" t="n">
        <v>45179</v>
      </c>
      <c r="C284" s="1" t="n">
        <v>45732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42198-2023</t>
        </is>
      </c>
      <c r="B285" s="1" t="n">
        <v>45179</v>
      </c>
      <c r="C285" s="1" t="n">
        <v>45732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45051-2023</t>
        </is>
      </c>
      <c r="B286" s="1" t="n">
        <v>45191</v>
      </c>
      <c r="C286" s="1" t="n">
        <v>45732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45065-2023</t>
        </is>
      </c>
      <c r="B287" s="1" t="n">
        <v>45191</v>
      </c>
      <c r="C287" s="1" t="n">
        <v>45732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45066-2023</t>
        </is>
      </c>
      <c r="B288" s="1" t="n">
        <v>45191</v>
      </c>
      <c r="C288" s="1" t="n">
        <v>45732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46041-2023</t>
        </is>
      </c>
      <c r="B289" s="1" t="n">
        <v>45196</v>
      </c>
      <c r="C289" s="1" t="n">
        <v>45732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46036-2023</t>
        </is>
      </c>
      <c r="B290" s="1" t="n">
        <v>45196</v>
      </c>
      <c r="C290" s="1" t="n">
        <v>45732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46045-2023</t>
        </is>
      </c>
      <c r="B291" s="1" t="n">
        <v>45196</v>
      </c>
      <c r="C291" s="1" t="n">
        <v>45732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46664-2023</t>
        </is>
      </c>
      <c r="B292" s="1" t="n">
        <v>45198</v>
      </c>
      <c r="C292" s="1" t="n">
        <v>45732</v>
      </c>
      <c r="D292" t="inlineStr">
        <is>
          <t>VÄSTMANLANDS LÄN</t>
        </is>
      </c>
      <c r="E292" t="inlineStr">
        <is>
          <t>NORBERG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46864-2023</t>
        </is>
      </c>
      <c r="B293" s="1" t="n">
        <v>45200</v>
      </c>
      <c r="C293" s="1" t="n">
        <v>45732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46865-2023</t>
        </is>
      </c>
      <c r="B294" s="1" t="n">
        <v>45200</v>
      </c>
      <c r="C294" s="1" t="n">
        <v>45732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5.4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48399-2023</t>
        </is>
      </c>
      <c r="B295" s="1" t="n">
        <v>45205</v>
      </c>
      <c r="C295" s="1" t="n">
        <v>45732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48398-2023</t>
        </is>
      </c>
      <c r="B296" s="1" t="n">
        <v>45205</v>
      </c>
      <c r="C296" s="1" t="n">
        <v>45732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48177-2023</t>
        </is>
      </c>
      <c r="B297" s="1" t="n">
        <v>45205</v>
      </c>
      <c r="C297" s="1" t="n">
        <v>45732</v>
      </c>
      <c r="D297" t="inlineStr">
        <is>
          <t>VÄSTMANLANDS LÄN</t>
        </is>
      </c>
      <c r="E297" t="inlineStr">
        <is>
          <t>NORBERG</t>
        </is>
      </c>
      <c r="F297" t="inlineStr">
        <is>
          <t>Övriga Aktiebolag</t>
        </is>
      </c>
      <c r="G297" t="n">
        <v>18.4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48396-2023</t>
        </is>
      </c>
      <c r="B298" s="1" t="n">
        <v>45205</v>
      </c>
      <c r="C298" s="1" t="n">
        <v>45732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49110-2023</t>
        </is>
      </c>
      <c r="B299" s="1" t="n">
        <v>45210</v>
      </c>
      <c r="C299" s="1" t="n">
        <v>45732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25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49101-2023</t>
        </is>
      </c>
      <c r="B300" s="1" t="n">
        <v>45210</v>
      </c>
      <c r="C300" s="1" t="n">
        <v>45732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49933-2023</t>
        </is>
      </c>
      <c r="B301" s="1" t="n">
        <v>45215</v>
      </c>
      <c r="C301" s="1" t="n">
        <v>45732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50198-2023</t>
        </is>
      </c>
      <c r="B302" s="1" t="n">
        <v>45215</v>
      </c>
      <c r="C302" s="1" t="n">
        <v>45732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50452-2023</t>
        </is>
      </c>
      <c r="B303" s="1" t="n">
        <v>45216</v>
      </c>
      <c r="C303" s="1" t="n">
        <v>45732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53030-2023</t>
        </is>
      </c>
      <c r="B304" s="1" t="n">
        <v>45226</v>
      </c>
      <c r="C304" s="1" t="n">
        <v>45732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54306-2023</t>
        </is>
      </c>
      <c r="B305" s="1" t="n">
        <v>45232</v>
      </c>
      <c r="C305" s="1" t="n">
        <v>45732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54573-2023</t>
        </is>
      </c>
      <c r="B306" s="1" t="n">
        <v>45233</v>
      </c>
      <c r="C306" s="1" t="n">
        <v>45732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58233-2023</t>
        </is>
      </c>
      <c r="B307" s="1" t="n">
        <v>45250</v>
      </c>
      <c r="C307" s="1" t="n">
        <v>45732</v>
      </c>
      <c r="D307" t="inlineStr">
        <is>
          <t>VÄSTMANLANDS LÄN</t>
        </is>
      </c>
      <c r="E307" t="inlineStr">
        <is>
          <t>NORBERG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58238-2023</t>
        </is>
      </c>
      <c r="B308" s="1" t="n">
        <v>45250</v>
      </c>
      <c r="C308" s="1" t="n">
        <v>45732</v>
      </c>
      <c r="D308" t="inlineStr">
        <is>
          <t>VÄSTMANLANDS LÄN</t>
        </is>
      </c>
      <c r="E308" t="inlineStr">
        <is>
          <t>NORBERG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62318-2023</t>
        </is>
      </c>
      <c r="B309" s="1" t="n">
        <v>45266</v>
      </c>
      <c r="C309" s="1" t="n">
        <v>45732</v>
      </c>
      <c r="D309" t="inlineStr">
        <is>
          <t>VÄSTMANLANDS LÄN</t>
        </is>
      </c>
      <c r="E309" t="inlineStr">
        <is>
          <t>NORBERG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62477-2023</t>
        </is>
      </c>
      <c r="B310" s="1" t="n">
        <v>45268</v>
      </c>
      <c r="C310" s="1" t="n">
        <v>45732</v>
      </c>
      <c r="D310" t="inlineStr">
        <is>
          <t>VÄSTMANLANDS LÄN</t>
        </is>
      </c>
      <c r="E310" t="inlineStr">
        <is>
          <t>NORBERG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63495-2023</t>
        </is>
      </c>
      <c r="B311" s="1" t="n">
        <v>45274</v>
      </c>
      <c r="C311" s="1" t="n">
        <v>45732</v>
      </c>
      <c r="D311" t="inlineStr">
        <is>
          <t>VÄSTMANLANDS LÄN</t>
        </is>
      </c>
      <c r="E311" t="inlineStr">
        <is>
          <t>NORBERG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63505-2023</t>
        </is>
      </c>
      <c r="B312" s="1" t="n">
        <v>45274</v>
      </c>
      <c r="C312" s="1" t="n">
        <v>45732</v>
      </c>
      <c r="D312" t="inlineStr">
        <is>
          <t>VÄSTMANLANDS LÄN</t>
        </is>
      </c>
      <c r="E312" t="inlineStr">
        <is>
          <t>NORBERG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3131-2024</t>
        </is>
      </c>
      <c r="B313" s="1" t="n">
        <v>45316</v>
      </c>
      <c r="C313" s="1" t="n">
        <v>45732</v>
      </c>
      <c r="D313" t="inlineStr">
        <is>
          <t>VÄSTMANLANDS LÄN</t>
        </is>
      </c>
      <c r="E313" t="inlineStr">
        <is>
          <t>NORBERG</t>
        </is>
      </c>
      <c r="G313" t="n">
        <v>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3587-2024</t>
        </is>
      </c>
      <c r="B314" s="1" t="n">
        <v>45320</v>
      </c>
      <c r="C314" s="1" t="n">
        <v>45732</v>
      </c>
      <c r="D314" t="inlineStr">
        <is>
          <t>VÄSTMANLANDS LÄN</t>
        </is>
      </c>
      <c r="E314" t="inlineStr">
        <is>
          <t>NORBERG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4599-2024</t>
        </is>
      </c>
      <c r="B315" s="1" t="n">
        <v>45328</v>
      </c>
      <c r="C315" s="1" t="n">
        <v>45732</v>
      </c>
      <c r="D315" t="inlineStr">
        <is>
          <t>VÄSTMANLANDS LÄN</t>
        </is>
      </c>
      <c r="E315" t="inlineStr">
        <is>
          <t>NORBERG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9843-2024</t>
        </is>
      </c>
      <c r="B316" s="1" t="n">
        <v>45363</v>
      </c>
      <c r="C316" s="1" t="n">
        <v>45732</v>
      </c>
      <c r="D316" t="inlineStr">
        <is>
          <t>VÄSTMANLANDS LÄN</t>
        </is>
      </c>
      <c r="E316" t="inlineStr">
        <is>
          <t>NORBERG</t>
        </is>
      </c>
      <c r="G316" t="n">
        <v>8.199999999999999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9907-2024</t>
        </is>
      </c>
      <c r="B317" s="1" t="n">
        <v>45363</v>
      </c>
      <c r="C317" s="1" t="n">
        <v>45732</v>
      </c>
      <c r="D317" t="inlineStr">
        <is>
          <t>VÄSTMANLANDS LÄN</t>
        </is>
      </c>
      <c r="E317" t="inlineStr">
        <is>
          <t>NORBERG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10946-2024</t>
        </is>
      </c>
      <c r="B318" s="1" t="n">
        <v>45370</v>
      </c>
      <c r="C318" s="1" t="n">
        <v>45732</v>
      </c>
      <c r="D318" t="inlineStr">
        <is>
          <t>VÄSTMANLANDS LÄN</t>
        </is>
      </c>
      <c r="E318" t="inlineStr">
        <is>
          <t>NORBERG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11834-2024</t>
        </is>
      </c>
      <c r="B319" s="1" t="n">
        <v>45376</v>
      </c>
      <c r="C319" s="1" t="n">
        <v>45732</v>
      </c>
      <c r="D319" t="inlineStr">
        <is>
          <t>VÄSTMANLANDS LÄN</t>
        </is>
      </c>
      <c r="E319" t="inlineStr">
        <is>
          <t>NORBERG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13654-2024</t>
        </is>
      </c>
      <c r="B320" s="1" t="n">
        <v>45390</v>
      </c>
      <c r="C320" s="1" t="n">
        <v>45732</v>
      </c>
      <c r="D320" t="inlineStr">
        <is>
          <t>VÄSTMANLANDS LÄN</t>
        </is>
      </c>
      <c r="E320" t="inlineStr">
        <is>
          <t>NORBERG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15834-2024</t>
        </is>
      </c>
      <c r="B321" s="1" t="n">
        <v>45404</v>
      </c>
      <c r="C321" s="1" t="n">
        <v>45732</v>
      </c>
      <c r="D321" t="inlineStr">
        <is>
          <t>VÄSTMANLANDS LÄN</t>
        </is>
      </c>
      <c r="E321" t="inlineStr">
        <is>
          <t>NORBERG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16042-2024</t>
        </is>
      </c>
      <c r="B322" s="1" t="n">
        <v>45405</v>
      </c>
      <c r="C322" s="1" t="n">
        <v>45732</v>
      </c>
      <c r="D322" t="inlineStr">
        <is>
          <t>VÄSTMANLANDS LÄN</t>
        </is>
      </c>
      <c r="E322" t="inlineStr">
        <is>
          <t>NORBERG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15974-2024</t>
        </is>
      </c>
      <c r="B323" s="1" t="n">
        <v>45405</v>
      </c>
      <c r="C323" s="1" t="n">
        <v>45732</v>
      </c>
      <c r="D323" t="inlineStr">
        <is>
          <t>VÄSTMANLANDS LÄN</t>
        </is>
      </c>
      <c r="E323" t="inlineStr">
        <is>
          <t>NORBERG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15890-2024</t>
        </is>
      </c>
      <c r="B324" s="1" t="n">
        <v>45405</v>
      </c>
      <c r="C324" s="1" t="n">
        <v>45732</v>
      </c>
      <c r="D324" t="inlineStr">
        <is>
          <t>VÄSTMANLANDS LÄN</t>
        </is>
      </c>
      <c r="E324" t="inlineStr">
        <is>
          <t>NORBERG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16629-2024</t>
        </is>
      </c>
      <c r="B325" s="1" t="n">
        <v>45408</v>
      </c>
      <c r="C325" s="1" t="n">
        <v>45732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8.800000000000001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16503-2024</t>
        </is>
      </c>
      <c r="B326" s="1" t="n">
        <v>45408</v>
      </c>
      <c r="C326" s="1" t="n">
        <v>45732</v>
      </c>
      <c r="D326" t="inlineStr">
        <is>
          <t>VÄSTMANLANDS LÄN</t>
        </is>
      </c>
      <c r="E326" t="inlineStr">
        <is>
          <t>NORBERG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17029-2024</t>
        </is>
      </c>
      <c r="B327" s="1" t="n">
        <v>45411</v>
      </c>
      <c r="C327" s="1" t="n">
        <v>45732</v>
      </c>
      <c r="D327" t="inlineStr">
        <is>
          <t>VÄSTMANLANDS LÄN</t>
        </is>
      </c>
      <c r="E327" t="inlineStr">
        <is>
          <t>NORBERG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18190-2024</t>
        </is>
      </c>
      <c r="B328" s="1" t="n">
        <v>45420</v>
      </c>
      <c r="C328" s="1" t="n">
        <v>45732</v>
      </c>
      <c r="D328" t="inlineStr">
        <is>
          <t>VÄSTMANLANDS LÄN</t>
        </is>
      </c>
      <c r="E328" t="inlineStr">
        <is>
          <t>NORBERG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18124-2024</t>
        </is>
      </c>
      <c r="B329" s="1" t="n">
        <v>45420</v>
      </c>
      <c r="C329" s="1" t="n">
        <v>45732</v>
      </c>
      <c r="D329" t="inlineStr">
        <is>
          <t>VÄSTMANLANDS LÄN</t>
        </is>
      </c>
      <c r="E329" t="inlineStr">
        <is>
          <t>NORBERG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18128-2024</t>
        </is>
      </c>
      <c r="B330" s="1" t="n">
        <v>45420</v>
      </c>
      <c r="C330" s="1" t="n">
        <v>45732</v>
      </c>
      <c r="D330" t="inlineStr">
        <is>
          <t>VÄSTMANLANDS LÄN</t>
        </is>
      </c>
      <c r="E330" t="inlineStr">
        <is>
          <t>NORBERG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18295-2024</t>
        </is>
      </c>
      <c r="B331" s="1" t="n">
        <v>45421</v>
      </c>
      <c r="C331" s="1" t="n">
        <v>45732</v>
      </c>
      <c r="D331" t="inlineStr">
        <is>
          <t>VÄSTMANLANDS LÄN</t>
        </is>
      </c>
      <c r="E331" t="inlineStr">
        <is>
          <t>NORBERG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19462-2024</t>
        </is>
      </c>
      <c r="B332" s="1" t="n">
        <v>45429</v>
      </c>
      <c r="C332" s="1" t="n">
        <v>45732</v>
      </c>
      <c r="D332" t="inlineStr">
        <is>
          <t>VÄSTMANLANDS LÄN</t>
        </is>
      </c>
      <c r="E332" t="inlineStr">
        <is>
          <t>NORBERG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21232-2024</t>
        </is>
      </c>
      <c r="B333" s="1" t="n">
        <v>45440</v>
      </c>
      <c r="C333" s="1" t="n">
        <v>45732</v>
      </c>
      <c r="D333" t="inlineStr">
        <is>
          <t>VÄSTMANLANDS LÄN</t>
        </is>
      </c>
      <c r="E333" t="inlineStr">
        <is>
          <t>NORBERG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23702-2024</t>
        </is>
      </c>
      <c r="B334" s="1" t="n">
        <v>45454</v>
      </c>
      <c r="C334" s="1" t="n">
        <v>45732</v>
      </c>
      <c r="D334" t="inlineStr">
        <is>
          <t>VÄSTMANLANDS LÄN</t>
        </is>
      </c>
      <c r="E334" t="inlineStr">
        <is>
          <t>NORBERG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23705-2024</t>
        </is>
      </c>
      <c r="B335" s="1" t="n">
        <v>45454</v>
      </c>
      <c r="C335" s="1" t="n">
        <v>45732</v>
      </c>
      <c r="D335" t="inlineStr">
        <is>
          <t>VÄSTMANLANDS LÄN</t>
        </is>
      </c>
      <c r="E335" t="inlineStr">
        <is>
          <t>NORBERG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23899-2024</t>
        </is>
      </c>
      <c r="B336" s="1" t="n">
        <v>45455</v>
      </c>
      <c r="C336" s="1" t="n">
        <v>45732</v>
      </c>
      <c r="D336" t="inlineStr">
        <is>
          <t>VÄSTMANLANDS LÄN</t>
        </is>
      </c>
      <c r="E336" t="inlineStr">
        <is>
          <t>NORBERG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26519-2024</t>
        </is>
      </c>
      <c r="B337" s="1" t="n">
        <v>45469</v>
      </c>
      <c r="C337" s="1" t="n">
        <v>45732</v>
      </c>
      <c r="D337" t="inlineStr">
        <is>
          <t>VÄSTMANLANDS LÄN</t>
        </is>
      </c>
      <c r="E337" t="inlineStr">
        <is>
          <t>NORBERG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27580-2024</t>
        </is>
      </c>
      <c r="B338" s="1" t="n">
        <v>45474</v>
      </c>
      <c r="C338" s="1" t="n">
        <v>45732</v>
      </c>
      <c r="D338" t="inlineStr">
        <is>
          <t>VÄSTMANLANDS LÄN</t>
        </is>
      </c>
      <c r="E338" t="inlineStr">
        <is>
          <t>NORBERG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27589-2024</t>
        </is>
      </c>
      <c r="B339" s="1" t="n">
        <v>45474</v>
      </c>
      <c r="C339" s="1" t="n">
        <v>45732</v>
      </c>
      <c r="D339" t="inlineStr">
        <is>
          <t>VÄSTMANLANDS LÄN</t>
        </is>
      </c>
      <c r="E339" t="inlineStr">
        <is>
          <t>NORBERG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30358-2024</t>
        </is>
      </c>
      <c r="B340" s="1" t="n">
        <v>45491</v>
      </c>
      <c r="C340" s="1" t="n">
        <v>45732</v>
      </c>
      <c r="D340" t="inlineStr">
        <is>
          <t>VÄSTMANLANDS LÄN</t>
        </is>
      </c>
      <c r="E340" t="inlineStr">
        <is>
          <t>NORBERG</t>
        </is>
      </c>
      <c r="F340" t="inlineStr">
        <is>
          <t>Övriga Aktiebolag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36264-2024</t>
        </is>
      </c>
      <c r="B341" s="1" t="n">
        <v>45534</v>
      </c>
      <c r="C341" s="1" t="n">
        <v>45732</v>
      </c>
      <c r="D341" t="inlineStr">
        <is>
          <t>VÄSTMANLANDS LÄN</t>
        </is>
      </c>
      <c r="E341" t="inlineStr">
        <is>
          <t>NORBERG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36443-2024</t>
        </is>
      </c>
      <c r="B342" s="1" t="n">
        <v>45537</v>
      </c>
      <c r="C342" s="1" t="n">
        <v>45732</v>
      </c>
      <c r="D342" t="inlineStr">
        <is>
          <t>VÄSTMANLANDS LÄN</t>
        </is>
      </c>
      <c r="E342" t="inlineStr">
        <is>
          <t>NORBERG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38324-2024</t>
        </is>
      </c>
      <c r="B343" s="1" t="n">
        <v>45545</v>
      </c>
      <c r="C343" s="1" t="n">
        <v>45732</v>
      </c>
      <c r="D343" t="inlineStr">
        <is>
          <t>VÄSTMANLANDS LÄN</t>
        </is>
      </c>
      <c r="E343" t="inlineStr">
        <is>
          <t>NORBERG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39261-2024</t>
        </is>
      </c>
      <c r="B344" s="1" t="n">
        <v>45551</v>
      </c>
      <c r="C344" s="1" t="n">
        <v>45732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39255-2024</t>
        </is>
      </c>
      <c r="B345" s="1" t="n">
        <v>45551</v>
      </c>
      <c r="C345" s="1" t="n">
        <v>45732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39835-2024</t>
        </is>
      </c>
      <c r="B346" s="1" t="n">
        <v>45553</v>
      </c>
      <c r="C346" s="1" t="n">
        <v>45732</v>
      </c>
      <c r="D346" t="inlineStr">
        <is>
          <t>VÄSTMANLANDS LÄN</t>
        </is>
      </c>
      <c r="E346" t="inlineStr">
        <is>
          <t>NORBERG</t>
        </is>
      </c>
      <c r="F346" t="inlineStr">
        <is>
          <t>Bergvik skog väst AB</t>
        </is>
      </c>
      <c r="G346" t="n">
        <v>9.6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39837-2024</t>
        </is>
      </c>
      <c r="B347" s="1" t="n">
        <v>45553</v>
      </c>
      <c r="C347" s="1" t="n">
        <v>45732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40228-2024</t>
        </is>
      </c>
      <c r="B348" s="1" t="n">
        <v>45554</v>
      </c>
      <c r="C348" s="1" t="n">
        <v>45732</v>
      </c>
      <c r="D348" t="inlineStr">
        <is>
          <t>VÄSTMANLANDS LÄN</t>
        </is>
      </c>
      <c r="E348" t="inlineStr">
        <is>
          <t>NORBERG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40232-2024</t>
        </is>
      </c>
      <c r="B349" s="1" t="n">
        <v>45554</v>
      </c>
      <c r="C349" s="1" t="n">
        <v>45732</v>
      </c>
      <c r="D349" t="inlineStr">
        <is>
          <t>VÄSTMANLANDS LÄN</t>
        </is>
      </c>
      <c r="E349" t="inlineStr">
        <is>
          <t>NORBERG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41448-2024</t>
        </is>
      </c>
      <c r="B350" s="1" t="n">
        <v>45560</v>
      </c>
      <c r="C350" s="1" t="n">
        <v>45732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41444-2024</t>
        </is>
      </c>
      <c r="B351" s="1" t="n">
        <v>45560</v>
      </c>
      <c r="C351" s="1" t="n">
        <v>45732</v>
      </c>
      <c r="D351" t="inlineStr">
        <is>
          <t>VÄSTMANLANDS LÄN</t>
        </is>
      </c>
      <c r="E351" t="inlineStr">
        <is>
          <t>NORBERG</t>
        </is>
      </c>
      <c r="F351" t="inlineStr">
        <is>
          <t>Övriga Aktiebolag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43103-2024</t>
        </is>
      </c>
      <c r="B352" s="1" t="n">
        <v>45567</v>
      </c>
      <c r="C352" s="1" t="n">
        <v>45732</v>
      </c>
      <c r="D352" t="inlineStr">
        <is>
          <t>VÄSTMANLANDS LÄN</t>
        </is>
      </c>
      <c r="E352" t="inlineStr">
        <is>
          <t>NORBERG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43073-2024</t>
        </is>
      </c>
      <c r="B353" s="1" t="n">
        <v>45567</v>
      </c>
      <c r="C353" s="1" t="n">
        <v>45732</v>
      </c>
      <c r="D353" t="inlineStr">
        <is>
          <t>VÄSTMANLANDS LÄN</t>
        </is>
      </c>
      <c r="E353" t="inlineStr">
        <is>
          <t>NORBERG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45290-2024</t>
        </is>
      </c>
      <c r="B354" s="1" t="n">
        <v>45576</v>
      </c>
      <c r="C354" s="1" t="n">
        <v>45732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45430-2024</t>
        </is>
      </c>
      <c r="B355" s="1" t="n">
        <v>45576</v>
      </c>
      <c r="C355" s="1" t="n">
        <v>45732</v>
      </c>
      <c r="D355" t="inlineStr">
        <is>
          <t>VÄSTMANLANDS LÄN</t>
        </is>
      </c>
      <c r="E355" t="inlineStr">
        <is>
          <t>NORBERG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45289-2024</t>
        </is>
      </c>
      <c r="B356" s="1" t="n">
        <v>45576</v>
      </c>
      <c r="C356" s="1" t="n">
        <v>45732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46077-2024</t>
        </is>
      </c>
      <c r="B357" s="1" t="n">
        <v>45581</v>
      </c>
      <c r="C357" s="1" t="n">
        <v>45732</v>
      </c>
      <c r="D357" t="inlineStr">
        <is>
          <t>VÄSTMANLANDS LÄN</t>
        </is>
      </c>
      <c r="E357" t="inlineStr">
        <is>
          <t>NORBERG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46688-2024</t>
        </is>
      </c>
      <c r="B358" s="1" t="n">
        <v>45583</v>
      </c>
      <c r="C358" s="1" t="n">
        <v>45732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46683-2024</t>
        </is>
      </c>
      <c r="B359" s="1" t="n">
        <v>45583</v>
      </c>
      <c r="C359" s="1" t="n">
        <v>45732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46686-2024</t>
        </is>
      </c>
      <c r="B360" s="1" t="n">
        <v>45583</v>
      </c>
      <c r="C360" s="1" t="n">
        <v>45732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47142-2024</t>
        </is>
      </c>
      <c r="B361" s="1" t="n">
        <v>45586</v>
      </c>
      <c r="C361" s="1" t="n">
        <v>45732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47029-2024</t>
        </is>
      </c>
      <c r="B362" s="1" t="n">
        <v>45586</v>
      </c>
      <c r="C362" s="1" t="n">
        <v>45732</v>
      </c>
      <c r="D362" t="inlineStr">
        <is>
          <t>VÄSTMANLANDS LÄN</t>
        </is>
      </c>
      <c r="E362" t="inlineStr">
        <is>
          <t>NORBERG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47562-2024</t>
        </is>
      </c>
      <c r="B363" s="1" t="n">
        <v>45587</v>
      </c>
      <c r="C363" s="1" t="n">
        <v>45732</v>
      </c>
      <c r="D363" t="inlineStr">
        <is>
          <t>VÄSTMANLANDS LÄN</t>
        </is>
      </c>
      <c r="E363" t="inlineStr">
        <is>
          <t>NORBERG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47753-2024</t>
        </is>
      </c>
      <c r="B364" s="1" t="n">
        <v>45588</v>
      </c>
      <c r="C364" s="1" t="n">
        <v>45732</v>
      </c>
      <c r="D364" t="inlineStr">
        <is>
          <t>VÄSTMANLANDS LÄN</t>
        </is>
      </c>
      <c r="E364" t="inlineStr">
        <is>
          <t>NORBERG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47846-2024</t>
        </is>
      </c>
      <c r="B365" s="1" t="n">
        <v>45588</v>
      </c>
      <c r="C365" s="1" t="n">
        <v>45732</v>
      </c>
      <c r="D365" t="inlineStr">
        <is>
          <t>VÄSTMANLANDS LÄN</t>
        </is>
      </c>
      <c r="E365" t="inlineStr">
        <is>
          <t>NORBERG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48075-2024</t>
        </is>
      </c>
      <c r="B366" s="1" t="n">
        <v>45589</v>
      </c>
      <c r="C366" s="1" t="n">
        <v>45732</v>
      </c>
      <c r="D366" t="inlineStr">
        <is>
          <t>VÄSTMANLANDS LÄN</t>
        </is>
      </c>
      <c r="E366" t="inlineStr">
        <is>
          <t>NORBERG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48853-2024</t>
        </is>
      </c>
      <c r="B367" s="1" t="n">
        <v>45593</v>
      </c>
      <c r="C367" s="1" t="n">
        <v>45732</v>
      </c>
      <c r="D367" t="inlineStr">
        <is>
          <t>VÄSTMANLANDS LÄN</t>
        </is>
      </c>
      <c r="E367" t="inlineStr">
        <is>
          <t>NORBERG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49132-2024</t>
        </is>
      </c>
      <c r="B368" s="1" t="n">
        <v>45594</v>
      </c>
      <c r="C368" s="1" t="n">
        <v>45732</v>
      </c>
      <c r="D368" t="inlineStr">
        <is>
          <t>VÄSTMANLANDS LÄN</t>
        </is>
      </c>
      <c r="E368" t="inlineStr">
        <is>
          <t>NORBERG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49763-2024</t>
        </is>
      </c>
      <c r="B369" s="1" t="n">
        <v>45597</v>
      </c>
      <c r="C369" s="1" t="n">
        <v>45732</v>
      </c>
      <c r="D369" t="inlineStr">
        <is>
          <t>VÄSTMANLANDS LÄN</t>
        </is>
      </c>
      <c r="E369" t="inlineStr">
        <is>
          <t>NORBERG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50005-2024</t>
        </is>
      </c>
      <c r="B370" s="1" t="n">
        <v>45598</v>
      </c>
      <c r="C370" s="1" t="n">
        <v>45732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50004-2024</t>
        </is>
      </c>
      <c r="B371" s="1" t="n">
        <v>45598</v>
      </c>
      <c r="C371" s="1" t="n">
        <v>45732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51120-2024</t>
        </is>
      </c>
      <c r="B372" s="1" t="n">
        <v>45603</v>
      </c>
      <c r="C372" s="1" t="n">
        <v>45732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51113-2024</t>
        </is>
      </c>
      <c r="B373" s="1" t="n">
        <v>45603</v>
      </c>
      <c r="C373" s="1" t="n">
        <v>45732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51798-2024</t>
        </is>
      </c>
      <c r="B374" s="1" t="n">
        <v>45607</v>
      </c>
      <c r="C374" s="1" t="n">
        <v>45732</v>
      </c>
      <c r="D374" t="inlineStr">
        <is>
          <t>VÄSTMANLANDS LÄN</t>
        </is>
      </c>
      <c r="E374" t="inlineStr">
        <is>
          <t>NORBERG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51791-2024</t>
        </is>
      </c>
      <c r="B375" s="1" t="n">
        <v>45607</v>
      </c>
      <c r="C375" s="1" t="n">
        <v>45732</v>
      </c>
      <c r="D375" t="inlineStr">
        <is>
          <t>VÄSTMANLANDS LÄN</t>
        </is>
      </c>
      <c r="E375" t="inlineStr">
        <is>
          <t>NORBERG</t>
        </is>
      </c>
      <c r="F375" t="inlineStr">
        <is>
          <t>Övriga Aktiebolag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51790-2024</t>
        </is>
      </c>
      <c r="B376" s="1" t="n">
        <v>45607</v>
      </c>
      <c r="C376" s="1" t="n">
        <v>45732</v>
      </c>
      <c r="D376" t="inlineStr">
        <is>
          <t>VÄSTMANLANDS LÄN</t>
        </is>
      </c>
      <c r="E376" t="inlineStr">
        <is>
          <t>NORBERG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51793-2024</t>
        </is>
      </c>
      <c r="B377" s="1" t="n">
        <v>45607</v>
      </c>
      <c r="C377" s="1" t="n">
        <v>45732</v>
      </c>
      <c r="D377" t="inlineStr">
        <is>
          <t>VÄSTMANLANDS LÄN</t>
        </is>
      </c>
      <c r="E377" t="inlineStr">
        <is>
          <t>NORBERG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51778-2024</t>
        </is>
      </c>
      <c r="B378" s="1" t="n">
        <v>45607</v>
      </c>
      <c r="C378" s="1" t="n">
        <v>45732</v>
      </c>
      <c r="D378" t="inlineStr">
        <is>
          <t>VÄSTMANLANDS LÄN</t>
        </is>
      </c>
      <c r="E378" t="inlineStr">
        <is>
          <t>NORBERG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52080-2024</t>
        </is>
      </c>
      <c r="B379" s="1" t="n">
        <v>45608</v>
      </c>
      <c r="C379" s="1" t="n">
        <v>45732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53224-2024</t>
        </is>
      </c>
      <c r="B380" s="1" t="n">
        <v>45613</v>
      </c>
      <c r="C380" s="1" t="n">
        <v>45732</v>
      </c>
      <c r="D380" t="inlineStr">
        <is>
          <t>VÄSTMANLANDS LÄN</t>
        </is>
      </c>
      <c r="E380" t="inlineStr">
        <is>
          <t>NORBERG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53225-2024</t>
        </is>
      </c>
      <c r="B381" s="1" t="n">
        <v>45613</v>
      </c>
      <c r="C381" s="1" t="n">
        <v>45732</v>
      </c>
      <c r="D381" t="inlineStr">
        <is>
          <t>VÄSTMANLANDS LÄN</t>
        </is>
      </c>
      <c r="E381" t="inlineStr">
        <is>
          <t>NORBERG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54721-2024</t>
        </is>
      </c>
      <c r="B382" s="1" t="n">
        <v>45618</v>
      </c>
      <c r="C382" s="1" t="n">
        <v>45732</v>
      </c>
      <c r="D382" t="inlineStr">
        <is>
          <t>VÄSTMANLANDS LÄN</t>
        </is>
      </c>
      <c r="E382" t="inlineStr">
        <is>
          <t>NORBERG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55887-2024</t>
        </is>
      </c>
      <c r="B383" s="1" t="n">
        <v>45623</v>
      </c>
      <c r="C383" s="1" t="n">
        <v>45732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19.1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56159-2024</t>
        </is>
      </c>
      <c r="B384" s="1" t="n">
        <v>45623</v>
      </c>
      <c r="C384" s="1" t="n">
        <v>45732</v>
      </c>
      <c r="D384" t="inlineStr">
        <is>
          <t>VÄSTMANLANDS LÄN</t>
        </is>
      </c>
      <c r="E384" t="inlineStr">
        <is>
          <t>NORBERG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57993-2024</t>
        </is>
      </c>
      <c r="B385" s="1" t="n">
        <v>45631</v>
      </c>
      <c r="C385" s="1" t="n">
        <v>45732</v>
      </c>
      <c r="D385" t="inlineStr">
        <is>
          <t>VÄSTMANLANDS LÄN</t>
        </is>
      </c>
      <c r="E385" t="inlineStr">
        <is>
          <t>NORBERG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57990-2024</t>
        </is>
      </c>
      <c r="B386" s="1" t="n">
        <v>45631</v>
      </c>
      <c r="C386" s="1" t="n">
        <v>45732</v>
      </c>
      <c r="D386" t="inlineStr">
        <is>
          <t>VÄSTMANLANDS LÄN</t>
        </is>
      </c>
      <c r="E386" t="inlineStr">
        <is>
          <t>NORBERG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58616-2024</t>
        </is>
      </c>
      <c r="B387" s="1" t="n">
        <v>45632</v>
      </c>
      <c r="C387" s="1" t="n">
        <v>45732</v>
      </c>
      <c r="D387" t="inlineStr">
        <is>
          <t>VÄSTMANLANDS LÄN</t>
        </is>
      </c>
      <c r="E387" t="inlineStr">
        <is>
          <t>NORBERG</t>
        </is>
      </c>
      <c r="F387" t="inlineStr">
        <is>
          <t>Bergvik skog väst AB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59705-2024</t>
        </is>
      </c>
      <c r="B388" s="1" t="n">
        <v>45639</v>
      </c>
      <c r="C388" s="1" t="n">
        <v>45732</v>
      </c>
      <c r="D388" t="inlineStr">
        <is>
          <t>VÄSTMANLANDS LÄN</t>
        </is>
      </c>
      <c r="E388" t="inlineStr">
        <is>
          <t>NORBERG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1804-2025</t>
        </is>
      </c>
      <c r="B389" s="1" t="n">
        <v>45671</v>
      </c>
      <c r="C389" s="1" t="n">
        <v>45732</v>
      </c>
      <c r="D389" t="inlineStr">
        <is>
          <t>VÄSTMANLANDS LÄN</t>
        </is>
      </c>
      <c r="E389" t="inlineStr">
        <is>
          <t>NORBERG</t>
        </is>
      </c>
      <c r="F389" t="inlineStr">
        <is>
          <t>Övriga Aktiebolag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3354-2025</t>
        </is>
      </c>
      <c r="B390" s="1" t="n">
        <v>45679</v>
      </c>
      <c r="C390" s="1" t="n">
        <v>45732</v>
      </c>
      <c r="D390" t="inlineStr">
        <is>
          <t>VÄSTMANLANDS LÄN</t>
        </is>
      </c>
      <c r="E390" t="inlineStr">
        <is>
          <t>NORBERG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6388-2025</t>
        </is>
      </c>
      <c r="B391" s="1" t="n">
        <v>45699</v>
      </c>
      <c r="C391" s="1" t="n">
        <v>45732</v>
      </c>
      <c r="D391" t="inlineStr">
        <is>
          <t>VÄSTMANLANDS LÄN</t>
        </is>
      </c>
      <c r="E391" t="inlineStr">
        <is>
          <t>NORBERG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7417-2025</t>
        </is>
      </c>
      <c r="B392" s="1" t="n">
        <v>45705</v>
      </c>
      <c r="C392" s="1" t="n">
        <v>45732</v>
      </c>
      <c r="D392" t="inlineStr">
        <is>
          <t>VÄSTMANLANDS LÄN</t>
        </is>
      </c>
      <c r="E392" t="inlineStr">
        <is>
          <t>NORBERG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7488-2025</t>
        </is>
      </c>
      <c r="B393" s="1" t="n">
        <v>45705</v>
      </c>
      <c r="C393" s="1" t="n">
        <v>45732</v>
      </c>
      <c r="D393" t="inlineStr">
        <is>
          <t>VÄSTMANLANDS LÄN</t>
        </is>
      </c>
      <c r="E393" t="inlineStr">
        <is>
          <t>NORBERG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9013-2025</t>
        </is>
      </c>
      <c r="B394" s="1" t="n">
        <v>45713</v>
      </c>
      <c r="C394" s="1" t="n">
        <v>45732</v>
      </c>
      <c r="D394" t="inlineStr">
        <is>
          <t>VÄSTMANLANDS LÄN</t>
        </is>
      </c>
      <c r="E394" t="inlineStr">
        <is>
          <t>NORBERG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9075-2025</t>
        </is>
      </c>
      <c r="B395" s="1" t="n">
        <v>45713</v>
      </c>
      <c r="C395" s="1" t="n">
        <v>45732</v>
      </c>
      <c r="D395" t="inlineStr">
        <is>
          <t>VÄSTMANLANDS LÄN</t>
        </is>
      </c>
      <c r="E395" t="inlineStr">
        <is>
          <t>NORBERG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9182-2025</t>
        </is>
      </c>
      <c r="B396" s="1" t="n">
        <v>45714</v>
      </c>
      <c r="C396" s="1" t="n">
        <v>45732</v>
      </c>
      <c r="D396" t="inlineStr">
        <is>
          <t>VÄSTMANLANDS LÄN</t>
        </is>
      </c>
      <c r="E396" t="inlineStr">
        <is>
          <t>NORBERG</t>
        </is>
      </c>
      <c r="F396" t="inlineStr">
        <is>
          <t>Övriga Aktiebolag</t>
        </is>
      </c>
      <c r="G396" t="n">
        <v>8.800000000000001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9201-2025</t>
        </is>
      </c>
      <c r="B397" s="1" t="n">
        <v>45714</v>
      </c>
      <c r="C397" s="1" t="n">
        <v>45732</v>
      </c>
      <c r="D397" t="inlineStr">
        <is>
          <t>VÄSTMANLANDS LÄN</t>
        </is>
      </c>
      <c r="E397" t="inlineStr">
        <is>
          <t>NORBERG</t>
        </is>
      </c>
      <c r="F397" t="inlineStr">
        <is>
          <t>Bergvik skog väst AB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9627-2025</t>
        </is>
      </c>
      <c r="B398" s="1" t="n">
        <v>45715</v>
      </c>
      <c r="C398" s="1" t="n">
        <v>45732</v>
      </c>
      <c r="D398" t="inlineStr">
        <is>
          <t>VÄSTMANLANDS LÄN</t>
        </is>
      </c>
      <c r="E398" t="inlineStr">
        <is>
          <t>NORBERG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10472-2025</t>
        </is>
      </c>
      <c r="B399" s="1" t="n">
        <v>45720</v>
      </c>
      <c r="C399" s="1" t="n">
        <v>45732</v>
      </c>
      <c r="D399" t="inlineStr">
        <is>
          <t>VÄSTMANLANDS LÄN</t>
        </is>
      </c>
      <c r="E399" t="inlineStr">
        <is>
          <t>NORBERG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12110-2025</t>
        </is>
      </c>
      <c r="B400" s="1" t="n">
        <v>45729</v>
      </c>
      <c r="C400" s="1" t="n">
        <v>45732</v>
      </c>
      <c r="D400" t="inlineStr">
        <is>
          <t>VÄSTMANLANDS LÄN</t>
        </is>
      </c>
      <c r="E400" t="inlineStr">
        <is>
          <t>NORBERG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>
      <c r="A401" t="inlineStr">
        <is>
          <t>A 12526-2025</t>
        </is>
      </c>
      <c r="B401" s="1" t="n">
        <v>45730</v>
      </c>
      <c r="C401" s="1" t="n">
        <v>45732</v>
      </c>
      <c r="D401" t="inlineStr">
        <is>
          <t>VÄSTMANLANDS LÄN</t>
        </is>
      </c>
      <c r="E401" t="inlineStr">
        <is>
          <t>NORBERG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2025-03-16T17:01:05Z</dcterms:created>
  <dcterms:modified xmlns:dcterms="http://purl.org/dc/terms/" xmlns:xsi="http://www.w3.org/2001/XMLSchema-instance" xsi:type="dcterms:W3CDTF">2025-03-16T17:01:06Z</dcterms:modified>
</cp:coreProperties>
</file>