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46317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46317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46317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46317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46317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46317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46317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46317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46317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46317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46317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46317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46317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46317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46317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46317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46317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46317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38927-2026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46317</v>
      </c>
      <c r="F23" t="inlineStr">
        <is>
          <t>VÄSTMANLANDS LÄN</t>
        </is>
      </c>
      <c r="G23" t="inlineStr">
        <is>
          <t>NORBERG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HYPERLINK("https://klasma.github.io/Logging_1962/artfynd/A 38927-2026 artfynd.xlsx", "A 38927-2026")</f>
        <v/>
      </c>
      <c r="X23">
        <f>HYPERLINK("https://klasma.github.io/Logging_1962/kartor/A 38927-2026 karta.png", "A 38927-2026")</f>
        <v/>
      </c>
      <c r="Y23">
        <f>HYPERLINK("https://klasma.github.io/Logging_1962/kartor_geotiff/A 38927-2026 georefererad karta.tif", "A 38927-2026")</f>
        <v/>
      </c>
      <c r="AA23">
        <f>HYPERLINK("https://klasma.github.io/Logging_1962/klagomål/A 38927-2026 FSC-klagomål.docx", "A 38927-2026")</f>
        <v/>
      </c>
      <c r="AB23">
        <f>HYPERLINK("https://klasma.github.io/Logging_1962/klagomålsmail/A 38927-2026 FSC-klagomål mail.docx", "A 38927-2026")</f>
        <v/>
      </c>
      <c r="AC23">
        <f>HYPERLINK("https://klasma.github.io/Logging_1962/tillsyn/A 38927-2026 tillsynsbegäran.docx", "A 38927-2026")</f>
        <v/>
      </c>
      <c r="AD23">
        <f>HYPERLINK("https://klasma.github.io/Logging_1962/tillsynsmail/A 38927-2026 tillsynsbegäran mail.docx", "A 38927-2026")</f>
        <v/>
      </c>
    </row>
    <row r="24" ht="15" customHeight="1">
      <c r="A24" t="inlineStr">
        <is>
          <t>A 61099-2024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46317</v>
      </c>
      <c r="F24" t="inlineStr">
        <is>
          <t>VÄSTMANLANDS LÄN</t>
        </is>
      </c>
      <c r="G24" t="inlineStr">
        <is>
          <t>NORBERG</t>
        </is>
      </c>
      <c r="I24" t="n">
        <v>0.4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61099-2024 artfynd.xlsx", "A 61099-2024")</f>
        <v/>
      </c>
      <c r="X24">
        <f>HYPERLINK("https://klasma.github.io/Logging_1962/kartor/A 61099-2024 karta.png", "A 61099-2024")</f>
        <v/>
      </c>
      <c r="Y24">
        <f>HYPERLINK("https://klasma.github.io/Logging_1962/kartor_geotiff/A 61099-2024 georefererad karta.tif", "A 61099-2024")</f>
        <v/>
      </c>
      <c r="AA24">
        <f>HYPERLINK("https://klasma.github.io/Logging_1962/klagomål/A 61099-2024 FSC-klagomål.docx", "A 61099-2024")</f>
        <v/>
      </c>
      <c r="AB24">
        <f>HYPERLINK("https://klasma.github.io/Logging_1962/klagomålsmail/A 61099-2024 FSC-klagomål mail.docx", "A 61099-2024")</f>
        <v/>
      </c>
      <c r="AC24">
        <f>HYPERLINK("https://klasma.github.io/Logging_1962/tillsyn/A 61099-2024 tillsynsbegäran.docx", "A 61099-2024")</f>
        <v/>
      </c>
      <c r="AD24">
        <f>HYPERLINK("https://klasma.github.io/Logging_1962/tillsynsmail/A 61099-2024 tillsynsbegäran mail.docx", "A 61099-2024")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46317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46317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41909-2026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46303</v>
      </c>
      <c r="E27" s="1" t="n">
        <v>46317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41909-2026 artfynd.xlsx", "A 41909-2026")</f>
        <v/>
      </c>
      <c r="X27">
        <f>HYPERLINK("https://klasma.github.io/Logging_1962/kartor/A 41909-2026 karta.png", "A 41909-2026")</f>
        <v/>
      </c>
      <c r="Y27">
        <f>HYPERLINK("https://klasma.github.io/Logging_1962/kartor_geotiff/A 41909-2026 georefererad karta.tif", "A 41909-2026")</f>
        <v/>
      </c>
      <c r="AA27">
        <f>HYPERLINK("https://klasma.github.io/Logging_1962/klagomål/A 41909-2026 FSC-klagomål.docx", "A 41909-2026")</f>
        <v/>
      </c>
      <c r="AB27">
        <f>HYPERLINK("https://klasma.github.io/Logging_1962/klagomålsmail/A 41909-2026 FSC-klagomål mail.docx", "A 41909-2026")</f>
        <v/>
      </c>
      <c r="AC27">
        <f>HYPERLINK("https://klasma.github.io/Logging_1962/tillsyn/A 41909-2026 tillsynsbegäran.docx", "A 41909-2026")</f>
        <v/>
      </c>
      <c r="AD27">
        <f>HYPERLINK("https://klasma.github.io/Logging_1962/tillsynsmail/A 41909-2026 tillsynsbegäran mail.docx", "A 41909-2026")</f>
        <v/>
      </c>
    </row>
    <row r="28" ht="15" customHeight="1">
      <c r="A28" t="inlineStr">
        <is>
          <t>A 36383-2026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46268</v>
      </c>
      <c r="E28" s="1" t="n">
        <v>46317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36383-2026 artfynd.xlsx", "A 36383-2026")</f>
        <v/>
      </c>
      <c r="X28">
        <f>HYPERLINK("https://klasma.github.io/Logging_1962/kartor/A 36383-2026 karta.png", "A 36383-2026")</f>
        <v/>
      </c>
      <c r="Y28">
        <f>HYPERLINK("https://klasma.github.io/Logging_1962/kartor_geotiff/A 36383-2026 georefererad karta.tif", "A 36383-2026")</f>
        <v/>
      </c>
      <c r="AA28">
        <f>HYPERLINK("https://klasma.github.io/Logging_1962/klagomål/A 36383-2026 FSC-klagomål.docx", "A 36383-2026")</f>
        <v/>
      </c>
      <c r="AB28">
        <f>HYPERLINK("https://klasma.github.io/Logging_1962/klagomålsmail/A 36383-2026 FSC-klagomål mail.docx", "A 36383-2026")</f>
        <v/>
      </c>
      <c r="AC28">
        <f>HYPERLINK("https://klasma.github.io/Logging_1962/tillsyn/A 36383-2026 tillsynsbegäran.docx", "A 36383-2026")</f>
        <v/>
      </c>
      <c r="AD28">
        <f>HYPERLINK("https://klasma.github.io/Logging_1962/tillsynsmail/A 36383-2026 tillsynsbegäran mail.docx", "A 36383-2026")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46317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46317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46317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46317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46317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46317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46317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46317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46317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46317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46317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46317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46317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46317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46317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46317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46317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46317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67356-2021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46317</v>
      </c>
      <c r="F47" t="inlineStr">
        <is>
          <t>VÄSTMANLANDS LÄN</t>
        </is>
      </c>
      <c r="G47" t="inlineStr">
        <is>
          <t>NORBERG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46317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46317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46317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46317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46317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46014</v>
      </c>
      <c r="E53" s="1" t="n">
        <v>46317</v>
      </c>
      <c r="F53" t="inlineStr">
        <is>
          <t>VÄSTMANLANDS LÄN</t>
        </is>
      </c>
      <c r="G53" t="inlineStr">
        <is>
          <t>NORBERG</t>
        </is>
      </c>
      <c r="I53" t="n">
        <v>22.8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45274</v>
      </c>
      <c r="E54" s="1" t="n">
        <v>46317</v>
      </c>
      <c r="F54" t="inlineStr">
        <is>
          <t>VÄSTMANLANDS LÄN</t>
        </is>
      </c>
      <c r="G54" t="inlineStr">
        <is>
          <t>NORBERG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45320</v>
      </c>
      <c r="E55" s="1" t="n">
        <v>46317</v>
      </c>
      <c r="F55" t="inlineStr">
        <is>
          <t>VÄSTMANLANDS LÄN</t>
        </is>
      </c>
      <c r="G55" t="inlineStr">
        <is>
          <t>NORBERG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46014</v>
      </c>
      <c r="E56" s="1" t="n">
        <v>46317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63907-2025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46020</v>
      </c>
      <c r="E57" s="1" t="n">
        <v>46317</v>
      </c>
      <c r="F57" t="inlineStr">
        <is>
          <t>VÄSTMANLANDS LÄN</t>
        </is>
      </c>
      <c r="G57" t="inlineStr">
        <is>
          <t>NORBERG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36905-2023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45154</v>
      </c>
      <c r="E58" s="1" t="n">
        <v>46317</v>
      </c>
      <c r="F58" t="inlineStr">
        <is>
          <t>VÄSTMANLANDS LÄN</t>
        </is>
      </c>
      <c r="G58" t="inlineStr">
        <is>
          <t>NORBERG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46317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9.300000000000001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46317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8746-2023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46317</v>
      </c>
      <c r="F61" t="inlineStr">
        <is>
          <t>VÄSTMANLANDS LÄN</t>
        </is>
      </c>
      <c r="G61" t="inlineStr">
        <is>
          <t>NORBERG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46317</v>
      </c>
      <c r="F62" t="inlineStr">
        <is>
          <t>VÄSTMANLANDS LÄN</t>
        </is>
      </c>
      <c r="G62" t="inlineStr">
        <is>
          <t>NORBERG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46317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45825</v>
      </c>
      <c r="E64" s="1" t="n">
        <v>46317</v>
      </c>
      <c r="F64" t="inlineStr">
        <is>
          <t>VÄSTMANLANDS LÄN</t>
        </is>
      </c>
      <c r="G64" t="inlineStr">
        <is>
          <t>NORBERG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46317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20378-2023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45056</v>
      </c>
      <c r="E66" s="1" t="n">
        <v>46317</v>
      </c>
      <c r="F66" t="inlineStr">
        <is>
          <t>VÄSTMANLANDS LÄN</t>
        </is>
      </c>
      <c r="G66" t="inlineStr">
        <is>
          <t>NORBERG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45408</v>
      </c>
      <c r="E67" s="1" t="n">
        <v>46317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46317</v>
      </c>
      <c r="F68" t="inlineStr">
        <is>
          <t>VÄSTMANLANDS LÄN</t>
        </is>
      </c>
      <c r="G68" t="inlineStr">
        <is>
          <t>NORBERG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46317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46317</v>
      </c>
      <c r="F70" t="inlineStr">
        <is>
          <t>VÄSTMANLANDS LÄN</t>
        </is>
      </c>
      <c r="G70" t="inlineStr">
        <is>
          <t>NORBERG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46317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7744-2023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46317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46317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15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38019-2025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46317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45966</v>
      </c>
      <c r="E75" s="1" t="n">
        <v>46317</v>
      </c>
      <c r="F75" t="inlineStr">
        <is>
          <t>VÄSTMANLANDS LÄN</t>
        </is>
      </c>
      <c r="G75" t="inlineStr">
        <is>
          <t>NORBERG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53224-2024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45613</v>
      </c>
      <c r="E76" s="1" t="n">
        <v>46317</v>
      </c>
      <c r="F76" t="inlineStr">
        <is>
          <t>VÄSTMANLANDS LÄN</t>
        </is>
      </c>
      <c r="G76" t="inlineStr">
        <is>
          <t>NORBERG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46317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46317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46317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46317</v>
      </c>
      <c r="F80" t="inlineStr">
        <is>
          <t>VÄSTMANLANDS LÄN</t>
        </is>
      </c>
      <c r="G80" t="inlineStr">
        <is>
          <t>NORBERG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45989</v>
      </c>
      <c r="E81" s="1" t="n">
        <v>46317</v>
      </c>
      <c r="F81" t="inlineStr">
        <is>
          <t>VÄSTMANLANDS LÄN</t>
        </is>
      </c>
      <c r="G81" t="inlineStr">
        <is>
          <t>NORBERG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46317</v>
      </c>
      <c r="F82" t="inlineStr">
        <is>
          <t>VÄSTMANLANDS LÄN</t>
        </is>
      </c>
      <c r="G82" t="inlineStr">
        <is>
          <t>NORBERG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46317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46317</v>
      </c>
      <c r="F84" t="inlineStr">
        <is>
          <t>VÄSTMANLANDS LÄN</t>
        </is>
      </c>
      <c r="G84" t="inlineStr">
        <is>
          <t>NORBERG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45169</v>
      </c>
      <c r="E85" s="1" t="n">
        <v>46317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45705</v>
      </c>
      <c r="E86" s="1" t="n">
        <v>46317</v>
      </c>
      <c r="F86" t="inlineStr">
        <is>
          <t>VÄSTMANLANDS LÄN</t>
        </is>
      </c>
      <c r="G86" t="inlineStr">
        <is>
          <t>NORBERG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60339-2025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45994</v>
      </c>
      <c r="E87" s="1" t="n">
        <v>46317</v>
      </c>
      <c r="F87" t="inlineStr">
        <is>
          <t>VÄSTMANLANDS LÄN</t>
        </is>
      </c>
      <c r="G87" t="inlineStr">
        <is>
          <t>NORBERG</t>
        </is>
      </c>
      <c r="H87" t="inlineStr">
        <is>
          <t>Kommuner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73797-2021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44552</v>
      </c>
      <c r="E88" s="1" t="n">
        <v>46317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46317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45200</v>
      </c>
      <c r="E90" s="1" t="n">
        <v>46317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45764</v>
      </c>
      <c r="E91" s="1" t="n">
        <v>46317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46317</v>
      </c>
      <c r="F92" t="inlineStr">
        <is>
          <t>VÄSTMANLANDS LÄN</t>
        </is>
      </c>
      <c r="G92" t="inlineStr">
        <is>
          <t>NORBERG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46099</v>
      </c>
      <c r="E93" s="1" t="n">
        <v>46317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46317</v>
      </c>
      <c r="F94" t="inlineStr">
        <is>
          <t>VÄSTMANLANDS LÄN</t>
        </is>
      </c>
      <c r="G94" t="inlineStr">
        <is>
          <t>NORBERG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46317</v>
      </c>
      <c r="F95" t="inlineStr">
        <is>
          <t>VÄSTMANLANDS LÄN</t>
        </is>
      </c>
      <c r="G95" t="inlineStr">
        <is>
          <t>NORBERG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46317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46317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16383-2026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46317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46113</v>
      </c>
      <c r="E99" s="1" t="n">
        <v>46317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46317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46114</v>
      </c>
      <c r="E101" s="1" t="n">
        <v>46317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46317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46317</v>
      </c>
      <c r="F103" t="inlineStr">
        <is>
          <t>VÄSTMANLANDS LÄN</t>
        </is>
      </c>
      <c r="G103" t="inlineStr">
        <is>
          <t>NORBERG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46317</v>
      </c>
      <c r="F104" t="inlineStr">
        <is>
          <t>VÄSTMANLANDS LÄN</t>
        </is>
      </c>
      <c r="G104" t="inlineStr">
        <is>
          <t>NORBERG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46317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46317</v>
      </c>
      <c r="F106" t="inlineStr">
        <is>
          <t>VÄSTMANLANDS LÄN</t>
        </is>
      </c>
      <c r="G106" t="inlineStr">
        <is>
          <t>NORBERG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46317</v>
      </c>
      <c r="F107" t="inlineStr">
        <is>
          <t>VÄSTMANLANDS LÄN</t>
        </is>
      </c>
      <c r="G107" t="inlineStr">
        <is>
          <t>NORBERG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45607</v>
      </c>
      <c r="E108" s="1" t="n">
        <v>46317</v>
      </c>
      <c r="F108" t="inlineStr">
        <is>
          <t>VÄSTMANLANDS LÄN</t>
        </is>
      </c>
      <c r="G108" t="inlineStr">
        <is>
          <t>NORBERG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46317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46317</v>
      </c>
      <c r="F110" t="inlineStr">
        <is>
          <t>VÄSTMANLANDS LÄN</t>
        </is>
      </c>
      <c r="G110" t="inlineStr">
        <is>
          <t>NORBERG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46317</v>
      </c>
      <c r="F111" t="inlineStr">
        <is>
          <t>VÄSTMANLANDS LÄN</t>
        </is>
      </c>
      <c r="G111" t="inlineStr">
        <is>
          <t>NORBERG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46317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45598</v>
      </c>
      <c r="E113" s="1" t="n">
        <v>46317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46317</v>
      </c>
      <c r="F114" t="inlineStr">
        <is>
          <t>VÄSTMANLANDS LÄN</t>
        </is>
      </c>
      <c r="G114" t="inlineStr">
        <is>
          <t>NORBERG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46317</v>
      </c>
      <c r="F115" t="inlineStr">
        <is>
          <t>VÄSTMANLANDS LÄN</t>
        </is>
      </c>
      <c r="G115" t="inlineStr">
        <is>
          <t>NORBERG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46317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20968-2026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46142</v>
      </c>
      <c r="E117" s="1" t="n">
        <v>46317</v>
      </c>
      <c r="F117" t="inlineStr">
        <is>
          <t>VÄSTMANLANDS LÄN</t>
        </is>
      </c>
      <c r="G117" t="inlineStr">
        <is>
          <t>NORBERG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46317</v>
      </c>
      <c r="F118" t="inlineStr">
        <is>
          <t>VÄSTMANLANDS LÄN</t>
        </is>
      </c>
      <c r="G118" t="inlineStr">
        <is>
          <t>NORBERG</t>
        </is>
      </c>
      <c r="H118" t="inlineStr">
        <is>
          <t>Bergvik skog väst AB</t>
        </is>
      </c>
      <c r="I118" t="n">
        <v>12.1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46148</v>
      </c>
      <c r="E119" s="1" t="n">
        <v>46317</v>
      </c>
      <c r="F119" t="inlineStr">
        <is>
          <t>VÄSTMANLANDS LÄN</t>
        </is>
      </c>
      <c r="G119" t="inlineStr">
        <is>
          <t>NORBERG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45121</v>
      </c>
      <c r="E120" s="1" t="n">
        <v>46317</v>
      </c>
      <c r="F120" t="inlineStr">
        <is>
          <t>VÄSTMANLANDS LÄN</t>
        </is>
      </c>
      <c r="G120" t="inlineStr">
        <is>
          <t>NORBERG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46148</v>
      </c>
      <c r="E121" s="1" t="n">
        <v>46317</v>
      </c>
      <c r="F121" t="inlineStr">
        <is>
          <t>VÄSTMANLANDS LÄN</t>
        </is>
      </c>
      <c r="G121" t="inlineStr">
        <is>
          <t>NORBERG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46317</v>
      </c>
      <c r="F122" t="inlineStr">
        <is>
          <t>VÄSTMANLANDS LÄN</t>
        </is>
      </c>
      <c r="G122" t="inlineStr">
        <is>
          <t>NORBERG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46317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46317</v>
      </c>
      <c r="F124" t="inlineStr">
        <is>
          <t>VÄSTMANLANDS LÄN</t>
        </is>
      </c>
      <c r="G124" t="inlineStr">
        <is>
          <t>NORBERG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46317</v>
      </c>
      <c r="F125" t="inlineStr">
        <is>
          <t>VÄSTMANLANDS LÄN</t>
        </is>
      </c>
      <c r="G125" t="inlineStr">
        <is>
          <t>NORBERG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46317</v>
      </c>
      <c r="F126" t="inlineStr">
        <is>
          <t>VÄSTMANLANDS LÄN</t>
        </is>
      </c>
      <c r="G126" t="inlineStr">
        <is>
          <t>NORBERG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46317</v>
      </c>
      <c r="F127" t="inlineStr">
        <is>
          <t>VÄSTMANLANDS LÄN</t>
        </is>
      </c>
      <c r="G127" t="inlineStr">
        <is>
          <t>NORBERG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46317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46317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46317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46317</v>
      </c>
      <c r="F131" t="inlineStr">
        <is>
          <t>VÄSTMANLANDS LÄN</t>
        </is>
      </c>
      <c r="G131" t="inlineStr">
        <is>
          <t>NORBERG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46317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46176</v>
      </c>
      <c r="E133" s="1" t="n">
        <v>46317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46317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46317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46317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46317</v>
      </c>
      <c r="F137" t="inlineStr">
        <is>
          <t>VÄSTMANLANDS LÄN</t>
        </is>
      </c>
      <c r="G137" t="inlineStr">
        <is>
          <t>NORBERG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46317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46317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46317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46317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46317</v>
      </c>
      <c r="F142" t="inlineStr">
        <is>
          <t>VÄSTMANLANDS LÄN</t>
        </is>
      </c>
      <c r="G142" t="inlineStr">
        <is>
          <t>NORBERG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63505-2023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45274</v>
      </c>
      <c r="E143" s="1" t="n">
        <v>46317</v>
      </c>
      <c r="F143" t="inlineStr">
        <is>
          <t>VÄSTMANLANDS LÄN</t>
        </is>
      </c>
      <c r="G143" t="inlineStr">
        <is>
          <t>NORBERG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46317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46317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46317</v>
      </c>
      <c r="F146" t="inlineStr">
        <is>
          <t>VÄSTMANLANDS LÄN</t>
        </is>
      </c>
      <c r="G146" t="inlineStr">
        <is>
          <t>NORBERG</t>
        </is>
      </c>
      <c r="I146" t="n">
        <v>22.4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21976-2026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46317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46317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46317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46317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46223</v>
      </c>
      <c r="E151" s="1" t="n">
        <v>46317</v>
      </c>
      <c r="F151" t="inlineStr">
        <is>
          <t>VÄSTMANLANDS LÄN</t>
        </is>
      </c>
      <c r="G151" t="inlineStr">
        <is>
          <t>NORBERG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46317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46317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46317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46317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46317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46317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46317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32385-2026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46238</v>
      </c>
      <c r="E159" s="1" t="n">
        <v>46317</v>
      </c>
      <c r="F159" t="inlineStr">
        <is>
          <t>VÄSTMANLANDS LÄN</t>
        </is>
      </c>
      <c r="G159" t="inlineStr">
        <is>
          <t>NORBERG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44727</v>
      </c>
      <c r="E160" s="1" t="n">
        <v>46317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46317</v>
      </c>
      <c r="F161" t="inlineStr">
        <is>
          <t>VÄSTMANLANDS LÄN</t>
        </is>
      </c>
      <c r="G161" t="inlineStr">
        <is>
          <t>NORBERG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46317</v>
      </c>
      <c r="F162" t="inlineStr">
        <is>
          <t>VÄSTMANLANDS LÄN</t>
        </is>
      </c>
      <c r="G162" t="inlineStr">
        <is>
          <t>NORBERG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46317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46317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46317</v>
      </c>
      <c r="F165" t="inlineStr">
        <is>
          <t>VÄSTMANLANDS LÄN</t>
        </is>
      </c>
      <c r="G165" t="inlineStr">
        <is>
          <t>NORBERG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19377-2025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45769</v>
      </c>
      <c r="E166" s="1" t="n">
        <v>46317</v>
      </c>
      <c r="F166" t="inlineStr">
        <is>
          <t>VÄSTMANLANDS LÄN</t>
        </is>
      </c>
      <c r="G166" t="inlineStr">
        <is>
          <t>NORBERG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46317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46317</v>
      </c>
      <c r="F168" t="inlineStr">
        <is>
          <t>VÄSTMANLANDS LÄN</t>
        </is>
      </c>
      <c r="G168" t="inlineStr">
        <is>
          <t>NORBERG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46317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46317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44691</v>
      </c>
      <c r="E171" s="1" t="n">
        <v>46317</v>
      </c>
      <c r="F171" t="inlineStr">
        <is>
          <t>VÄSTMANLANDS LÄN</t>
        </is>
      </c>
      <c r="G171" t="inlineStr">
        <is>
          <t>NORBERG</t>
        </is>
      </c>
      <c r="H171" t="inlineStr">
        <is>
          <t>Övriga Aktiebolag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46317</v>
      </c>
      <c r="F172" t="inlineStr">
        <is>
          <t>VÄSTMANLANDS LÄN</t>
        </is>
      </c>
      <c r="G172" t="inlineStr">
        <is>
          <t>NORBERG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46317</v>
      </c>
      <c r="F173" t="inlineStr">
        <is>
          <t>VÄSTMANLANDS LÄN</t>
        </is>
      </c>
      <c r="G173" t="inlineStr">
        <is>
          <t>NORBERG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46317</v>
      </c>
      <c r="F174" t="inlineStr">
        <is>
          <t>VÄSTMANLANDS LÄN</t>
        </is>
      </c>
      <c r="G174" t="inlineStr">
        <is>
          <t>NORBERG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46317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44992</v>
      </c>
      <c r="E176" s="1" t="n">
        <v>46317</v>
      </c>
      <c r="F176" t="inlineStr">
        <is>
          <t>VÄSTMANLANDS LÄN</t>
        </is>
      </c>
      <c r="G176" t="inlineStr">
        <is>
          <t>NORBERG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46317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46317</v>
      </c>
      <c r="F178" t="inlineStr">
        <is>
          <t>VÄSTMANLANDS LÄN</t>
        </is>
      </c>
      <c r="G178" t="inlineStr">
        <is>
          <t>NORBERG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46317</v>
      </c>
      <c r="F179" t="inlineStr">
        <is>
          <t>VÄSTMANLANDS LÄN</t>
        </is>
      </c>
      <c r="G179" t="inlineStr">
        <is>
          <t>NORBERG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46317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46317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46317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46303</v>
      </c>
      <c r="E183" s="1" t="n">
        <v>46317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46303</v>
      </c>
      <c r="E184" s="1" t="n">
        <v>46317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46303</v>
      </c>
      <c r="E185" s="1" t="n">
        <v>46317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35726-2026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46317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46317</v>
      </c>
      <c r="F187" t="inlineStr">
        <is>
          <t>VÄSTMANLANDS LÄN</t>
        </is>
      </c>
      <c r="G187" t="inlineStr">
        <is>
          <t>NORBERG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46317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46317</v>
      </c>
      <c r="F189" t="inlineStr">
        <is>
          <t>VÄSTMANLANDS LÄN</t>
        </is>
      </c>
      <c r="G189" t="inlineStr">
        <is>
          <t>NORBERG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46266</v>
      </c>
      <c r="E190" s="1" t="n">
        <v>46317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46317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46317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46317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46317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46317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2026-10-22T01:57:45Z</dcterms:created>
  <dcterms:modified xmlns:dcterms="http://purl.org/dc/terms/" xmlns:xsi="http://www.w3.org/2001/XMLSchema-instance" xsi:type="dcterms:W3CDTF">2026-10-22T01:57:45Z</dcterms:modified>
</cp:coreProperties>
</file>