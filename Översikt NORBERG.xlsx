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46239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46239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55711-2024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45622</v>
      </c>
      <c r="E5" s="1" t="n">
        <v>46239</v>
      </c>
      <c r="F5" t="inlineStr">
        <is>
          <t>VÄSTMANLANDS LÄN</t>
        </is>
      </c>
      <c r="G5" t="inlineStr">
        <is>
          <t>NORBERG</t>
        </is>
      </c>
      <c r="I5" t="n">
        <v>2.5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Persiljespindling
Skogsknipprot</t>
        </is>
      </c>
      <c r="W5">
        <f>HYPERLINK("https://klasma.github.io/Logging_1962/artfynd/A 55711-2024 artfynd.xlsx", "A 55711-2024")</f>
        <v/>
      </c>
      <c r="X5">
        <f>HYPERLINK("https://klasma.github.io/Logging_1962/kartor/A 55711-2024 karta.png", "A 55711-2024")</f>
        <v/>
      </c>
      <c r="Y5">
        <f>HYPERLINK("https://klasma.github.io/Logging_1962/kartor_geotiff/A 55711-2024 georefererad karta.tif", "A 55711-2024")</f>
        <v/>
      </c>
      <c r="AA5">
        <f>HYPERLINK("https://klasma.github.io/Logging_1962/klagomål/A 55711-2024 FSC-klagomål.docx", "A 55711-2024")</f>
        <v/>
      </c>
      <c r="AB5">
        <f>HYPERLINK("https://klasma.github.io/Logging_1962/klagomålsmail/A 55711-2024 FSC-klagomål mail.docx", "A 55711-2024")</f>
        <v/>
      </c>
      <c r="AC5">
        <f>HYPERLINK("https://klasma.github.io/Logging_1962/tillsyn/A 55711-2024 tillsynsbegäran.docx", "A 55711-2024")</f>
        <v/>
      </c>
      <c r="AD5">
        <f>HYPERLINK("https://klasma.github.io/Logging_1962/tillsynsmail/A 55711-2024 tillsynsbegäran mail.docx", "A 55711-2024")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46239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t="n">
        <v>2</v>
      </c>
      <c r="V6" s="2" t="inlineStr">
        <is>
          <t>Gul taggsvamp
Dofttaggsvamp</t>
        </is>
      </c>
      <c r="W6">
        <f>HYPERLINK("https://klasma.github.io/Logging_1962/artfynd/A 33377-2023 artfynd.xlsx", "A 33377-2023")</f>
        <v/>
      </c>
      <c r="X6">
        <f>HYPERLINK("https://klasma.github.io/Logging_1962/kartor/A 33377-2023 karta.png", "A 33377-2023")</f>
        <v/>
      </c>
      <c r="Y6">
        <f>HYPERLINK("https://klasma.github.io/Logging_1962/kartor_geotiff/A 33377-2023 georefererad karta.tif", "A 33377-2023")</f>
        <v/>
      </c>
      <c r="AA6">
        <f>HYPERLINK("https://klasma.github.io/Logging_1962/klagomål/A 33377-2023 FSC-klagomål.docx", "A 33377-2023")</f>
        <v/>
      </c>
      <c r="AB6">
        <f>HYPERLINK("https://klasma.github.io/Logging_1962/klagomålsmail/A 33377-2023 FSC-klagomål mail.docx", "A 33377-2023")</f>
        <v/>
      </c>
      <c r="AC6">
        <f>HYPERLINK("https://klasma.github.io/Logging_1962/tillsyn/A 33377-2023 tillsynsbegäran.docx", "A 33377-2023")</f>
        <v/>
      </c>
      <c r="AD6">
        <f>HYPERLINK("https://klasma.github.io/Logging_1962/tillsynsmail/A 33377-2023 tillsynsbegäran mail.docx", "A 33377-2023")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46239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46239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46239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Plattlummer</t>
        </is>
      </c>
      <c r="W9">
        <f>HYPERLINK("https://klasma.github.io/Logging_1962/artfynd/A 20257-2025 artfynd.xlsx", "A 20257-2025")</f>
        <v/>
      </c>
      <c r="X9">
        <f>HYPERLINK("https://klasma.github.io/Logging_1962/kartor/A 20257-2025 karta.png", "A 20257-2025")</f>
        <v/>
      </c>
      <c r="Y9">
        <f>HYPERLINK("https://klasma.github.io/Logging_1962/kartor_geotiff/A 20257-2025 georefererad karta.tif", "A 20257-2025")</f>
        <v/>
      </c>
      <c r="AA9">
        <f>HYPERLINK("https://klasma.github.io/Logging_1962/klagomål/A 20257-2025 FSC-klagomål.docx", "A 20257-2025")</f>
        <v/>
      </c>
      <c r="AB9">
        <f>HYPERLINK("https://klasma.github.io/Logging_1962/klagomålsmail/A 20257-2025 FSC-klagomål mail.docx", "A 20257-2025")</f>
        <v/>
      </c>
      <c r="AC9">
        <f>HYPERLINK("https://klasma.github.io/Logging_1962/tillsyn/A 20257-2025 tillsynsbegäran.docx", "A 20257-2025")</f>
        <v/>
      </c>
      <c r="AD9">
        <f>HYPERLINK("https://klasma.github.io/Logging_1962/tillsynsmail/A 20257-2025 tillsynsbegäran mail.docx", "A 20257-2025")</f>
        <v/>
      </c>
    </row>
    <row r="10" ht="15" customHeight="1">
      <c r="A10" t="inlineStr">
        <is>
          <t>A 52063-2022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46239</v>
      </c>
      <c r="F10" t="inlineStr">
        <is>
          <t>VÄSTMANLANDS LÄN</t>
        </is>
      </c>
      <c r="G10" t="inlineStr">
        <is>
          <t>NORBERG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HYPERLINK("https://klasma.github.io/Logging_1962/artfynd/A 52063-2022 artfynd.xlsx", "A 52063-2022")</f>
        <v/>
      </c>
      <c r="X10">
        <f>HYPERLINK("https://klasma.github.io/Logging_1962/kartor/A 52063-2022 karta.png", "A 52063-2022")</f>
        <v/>
      </c>
      <c r="Y10">
        <f>HYPERLINK("https://klasma.github.io/Logging_1962/kartor_geotiff/A 52063-2022 georefererad karta.tif", "A 52063-2022")</f>
        <v/>
      </c>
      <c r="AA10">
        <f>HYPERLINK("https://klasma.github.io/Logging_1962/klagomål/A 52063-2022 FSC-klagomål.docx", "A 52063-2022")</f>
        <v/>
      </c>
      <c r="AB10">
        <f>HYPERLINK("https://klasma.github.io/Logging_1962/klagomålsmail/A 52063-2022 FSC-klagomål mail.docx", "A 52063-2022")</f>
        <v/>
      </c>
      <c r="AC10">
        <f>HYPERLINK("https://klasma.github.io/Logging_1962/tillsyn/A 52063-2022 tillsynsbegäran.docx", "A 52063-2022")</f>
        <v/>
      </c>
      <c r="AD10">
        <f>HYPERLINK("https://klasma.github.io/Logging_1962/tillsynsmail/A 52063-2022 tillsynsbegäran mail.docx", "A 52063-2022")</f>
        <v/>
      </c>
    </row>
    <row r="11" ht="15" customHeight="1">
      <c r="A11" t="inlineStr">
        <is>
          <t>A 38017-2025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45882</v>
      </c>
      <c r="E11" s="1" t="n">
        <v>46239</v>
      </c>
      <c r="F11" t="inlineStr">
        <is>
          <t>VÄSTMANLANDS LÄN</t>
        </is>
      </c>
      <c r="G11" t="inlineStr">
        <is>
          <t>NORBERG</t>
        </is>
      </c>
      <c r="H11" t="inlineStr">
        <is>
          <t>Övriga Aktiebolag</t>
        </is>
      </c>
      <c r="I11" t="n">
        <v>15.5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HYPERLINK("https://klasma.github.io/Logging_1962/artfynd/A 38017-2025 artfynd.xlsx", "A 38017-2025")</f>
        <v/>
      </c>
      <c r="X11">
        <f>HYPERLINK("https://klasma.github.io/Logging_1962/kartor/A 38017-2025 karta.png", "A 38017-2025")</f>
        <v/>
      </c>
      <c r="Y11">
        <f>HYPERLINK("https://klasma.github.io/Logging_1962/kartor_geotiff/A 38017-2025 georefererad karta.tif", "A 38017-2025")</f>
        <v/>
      </c>
      <c r="AA11">
        <f>HYPERLINK("https://klasma.github.io/Logging_1962/klagomål/A 38017-2025 FSC-klagomål.docx", "A 38017-2025")</f>
        <v/>
      </c>
      <c r="AB11">
        <f>HYPERLINK("https://klasma.github.io/Logging_1962/klagomålsmail/A 38017-2025 FSC-klagomål mail.docx", "A 38017-2025")</f>
        <v/>
      </c>
      <c r="AC11">
        <f>HYPERLINK("https://klasma.github.io/Logging_1962/tillsyn/A 38017-2025 tillsynsbegäran.docx", "A 38017-2025")</f>
        <v/>
      </c>
      <c r="AD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46239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61099-2024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45644</v>
      </c>
      <c r="E13" s="1" t="n">
        <v>46239</v>
      </c>
      <c r="F13" t="inlineStr">
        <is>
          <t>VÄSTMANLANDS LÄN</t>
        </is>
      </c>
      <c r="G13" t="inlineStr">
        <is>
          <t>NORBERG</t>
        </is>
      </c>
      <c r="I13" t="n">
        <v>0.4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HYPERLINK("https://klasma.github.io/Logging_1962/artfynd/A 61099-2024 artfynd.xlsx", "A 61099-2024")</f>
        <v/>
      </c>
      <c r="X13">
        <f>HYPERLINK("https://klasma.github.io/Logging_1962/kartor/A 61099-2024 karta.png", "A 61099-2024")</f>
        <v/>
      </c>
      <c r="Y13">
        <f>HYPERLINK("https://klasma.github.io/Logging_1962/kartor_geotiff/A 61099-2024 georefererad karta.tif", "A 61099-2024")</f>
        <v/>
      </c>
      <c r="AA13">
        <f>HYPERLINK("https://klasma.github.io/Logging_1962/klagomål/A 61099-2024 FSC-klagomål.docx", "A 61099-2024")</f>
        <v/>
      </c>
      <c r="AB13">
        <f>HYPERLINK("https://klasma.github.io/Logging_1962/klagomålsmail/A 61099-2024 FSC-klagomål mail.docx", "A 61099-2024")</f>
        <v/>
      </c>
      <c r="AC13">
        <f>HYPERLINK("https://klasma.github.io/Logging_1962/tillsyn/A 61099-2024 tillsynsbegäran.docx", "A 61099-2024")</f>
        <v/>
      </c>
      <c r="AD13">
        <f>HYPERLINK("https://klasma.github.io/Logging_1962/tillsynsmail/A 61099-2024 tillsynsbegäran mail.docx", "A 61099-2024")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46239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46239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46239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15107-2025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45744</v>
      </c>
      <c r="E17" s="1" t="n">
        <v>46239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0.9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15107-2025 artfynd.xlsx", "A 15107-2025")</f>
        <v/>
      </c>
      <c r="X17">
        <f>HYPERLINK("https://klasma.github.io/Logging_1962/kartor/A 15107-2025 karta.png", "A 15107-2025")</f>
        <v/>
      </c>
      <c r="Y17">
        <f>HYPERLINK("https://klasma.github.io/Logging_1962/kartor_geotiff/A 15107-2025 georefererad karta.tif", "A 15107-2025")</f>
        <v/>
      </c>
      <c r="AA17">
        <f>HYPERLINK("https://klasma.github.io/Logging_1962/klagomål/A 15107-2025 FSC-klagomål.docx", "A 15107-2025")</f>
        <v/>
      </c>
      <c r="AB17">
        <f>HYPERLINK("https://klasma.github.io/Logging_1962/klagomålsmail/A 15107-2025 FSC-klagomål mail.docx", "A 15107-2025")</f>
        <v/>
      </c>
      <c r="AC17">
        <f>HYPERLINK("https://klasma.github.io/Logging_1962/tillsyn/A 15107-2025 tillsynsbegäran.docx", "A 15107-2025")</f>
        <v/>
      </c>
      <c r="AD17">
        <f>HYPERLINK("https://klasma.github.io/Logging_1962/tillsynsmail/A 15107-2025 tillsynsbegäran mail.docx", "A 15107-2025")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46239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46239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46239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46239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46239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46239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46239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46239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46239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46239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46239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46239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47599-2022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44852</v>
      </c>
      <c r="E31" s="1" t="n">
        <v>46239</v>
      </c>
      <c r="F31" t="inlineStr">
        <is>
          <t>VÄSTMANLANDS LÄN</t>
        </is>
      </c>
      <c r="G31" t="inlineStr">
        <is>
          <t>NORBERG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46239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42504-2022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44831</v>
      </c>
      <c r="E33" s="1" t="n">
        <v>46239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42505-2022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44831</v>
      </c>
      <c r="E34" s="1" t="n">
        <v>46239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46641-2022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46239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44635</v>
      </c>
      <c r="E36" s="1" t="n">
        <v>46239</v>
      </c>
      <c r="F36" t="inlineStr">
        <is>
          <t>VÄSTMANLANDS LÄN</t>
        </is>
      </c>
      <c r="G36" t="inlineStr">
        <is>
          <t>NORBERG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67361-2021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44523</v>
      </c>
      <c r="E37" s="1" t="n">
        <v>46239</v>
      </c>
      <c r="F37" t="inlineStr">
        <is>
          <t>VÄSTMANLANDS LÄN</t>
        </is>
      </c>
      <c r="G37" t="inlineStr">
        <is>
          <t>NORBERG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2312-2022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44578</v>
      </c>
      <c r="E38" s="1" t="n">
        <v>46239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46239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48143-2021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44449</v>
      </c>
      <c r="E40" s="1" t="n">
        <v>46239</v>
      </c>
      <c r="F40" t="inlineStr">
        <is>
          <t>VÄSTMANLANDS LÄN</t>
        </is>
      </c>
      <c r="G40" t="inlineStr">
        <is>
          <t>NORBERG</t>
        </is>
      </c>
      <c r="H40" t="inlineStr">
        <is>
          <t>Bergvik skog väst AB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46239</v>
      </c>
      <c r="F41" t="inlineStr">
        <is>
          <t>VÄSTMANLANDS LÄN</t>
        </is>
      </c>
      <c r="G41" t="inlineStr">
        <is>
          <t>NORBERG</t>
        </is>
      </c>
      <c r="I41" t="n">
        <v>6.6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53030-2023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46239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45730</v>
      </c>
      <c r="E43" s="1" t="n">
        <v>46239</v>
      </c>
      <c r="F43" t="inlineStr">
        <is>
          <t>VÄSTMANLANDS LÄN</t>
        </is>
      </c>
      <c r="G43" t="inlineStr">
        <is>
          <t>NORBERG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45049</v>
      </c>
      <c r="E44" s="1" t="n">
        <v>46239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67356-2021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46239</v>
      </c>
      <c r="F45" t="inlineStr">
        <is>
          <t>VÄSTMANLANDS LÄN</t>
        </is>
      </c>
      <c r="G45" t="inlineStr">
        <is>
          <t>NORBERG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46239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46239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46239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53224-2024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45613</v>
      </c>
      <c r="E49" s="1" t="n">
        <v>46239</v>
      </c>
      <c r="F49" t="inlineStr">
        <is>
          <t>VÄSTMANLANDS LÄN</t>
        </is>
      </c>
      <c r="G49" t="inlineStr">
        <is>
          <t>NORBERG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46239</v>
      </c>
      <c r="F50" t="inlineStr">
        <is>
          <t>VÄSTMANLANDS LÄN</t>
        </is>
      </c>
      <c r="G50" t="inlineStr">
        <is>
          <t>NORBERG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63505-2023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45274</v>
      </c>
      <c r="E51" s="1" t="n">
        <v>46239</v>
      </c>
      <c r="F51" t="inlineStr">
        <is>
          <t>VÄSTMANLANDS LÄN</t>
        </is>
      </c>
      <c r="G51" t="inlineStr">
        <is>
          <t>NORBERG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30211-2025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45827</v>
      </c>
      <c r="E52" s="1" t="n">
        <v>46239</v>
      </c>
      <c r="F52" t="inlineStr">
        <is>
          <t>VÄSTMANLANDS LÄN</t>
        </is>
      </c>
      <c r="G52" t="inlineStr">
        <is>
          <t>NORBERG</t>
        </is>
      </c>
      <c r="H52" t="inlineStr">
        <is>
          <t>Övriga Aktiebolag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45769</v>
      </c>
      <c r="E53" s="1" t="n">
        <v>46239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45769</v>
      </c>
      <c r="E54" s="1" t="n">
        <v>46239</v>
      </c>
      <c r="F54" t="inlineStr">
        <is>
          <t>VÄSTMANLANDS LÄN</t>
        </is>
      </c>
      <c r="G54" t="inlineStr">
        <is>
          <t>NORBERG</t>
        </is>
      </c>
      <c r="H54" t="inlineStr">
        <is>
          <t>Övriga Aktiebolag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45001</v>
      </c>
      <c r="E55" s="1" t="n">
        <v>46239</v>
      </c>
      <c r="F55" t="inlineStr">
        <is>
          <t>VÄSTMANLANDS LÄN</t>
        </is>
      </c>
      <c r="G55" t="inlineStr">
        <is>
          <t>NORBERG</t>
        </is>
      </c>
      <c r="I55" t="n">
        <v>22.4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51793-2024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45607</v>
      </c>
      <c r="E56" s="1" t="n">
        <v>46239</v>
      </c>
      <c r="F56" t="inlineStr">
        <is>
          <t>VÄSTMANLANDS LÄN</t>
        </is>
      </c>
      <c r="G56" t="inlineStr">
        <is>
          <t>NORBERG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45474</v>
      </c>
      <c r="E57" s="1" t="n">
        <v>46239</v>
      </c>
      <c r="F57" t="inlineStr">
        <is>
          <t>VÄSTMANLANDS LÄN</t>
        </is>
      </c>
      <c r="G57" t="inlineStr">
        <is>
          <t>NORBERG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45363</v>
      </c>
      <c r="E58" s="1" t="n">
        <v>46239</v>
      </c>
      <c r="F58" t="inlineStr">
        <is>
          <t>VÄSTMANLANDS LÄN</t>
        </is>
      </c>
      <c r="G58" t="inlineStr">
        <is>
          <t>NORBERG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45420</v>
      </c>
      <c r="E59" s="1" t="n">
        <v>46239</v>
      </c>
      <c r="F59" t="inlineStr">
        <is>
          <t>VÄSTMANLANDS LÄN</t>
        </is>
      </c>
      <c r="G59" t="inlineStr">
        <is>
          <t>NORBERG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51778-2024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45607</v>
      </c>
      <c r="E60" s="1" t="n">
        <v>46239</v>
      </c>
      <c r="F60" t="inlineStr">
        <is>
          <t>VÄSTMANLANDS LÄN</t>
        </is>
      </c>
      <c r="G60" t="inlineStr">
        <is>
          <t>NORBERG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46865-2023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45200</v>
      </c>
      <c r="E61" s="1" t="n">
        <v>46239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45320</v>
      </c>
      <c r="E62" s="1" t="n">
        <v>46239</v>
      </c>
      <c r="F62" t="inlineStr">
        <is>
          <t>VÄSTMANLANDS LÄN</t>
        </is>
      </c>
      <c r="G62" t="inlineStr">
        <is>
          <t>NORBERG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36905-2023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45154</v>
      </c>
      <c r="E63" s="1" t="n">
        <v>46239</v>
      </c>
      <c r="F63" t="inlineStr">
        <is>
          <t>VÄSTMANLANDS LÄN</t>
        </is>
      </c>
      <c r="G63" t="inlineStr">
        <is>
          <t>NORBERG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45560</v>
      </c>
      <c r="E64" s="1" t="n">
        <v>46239</v>
      </c>
      <c r="F64" t="inlineStr">
        <is>
          <t>VÄSTMANLANDS LÄN</t>
        </is>
      </c>
      <c r="G64" t="inlineStr">
        <is>
          <t>NORBERG</t>
        </is>
      </c>
      <c r="H64" t="inlineStr">
        <is>
          <t>Bergvik skog väst AB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46239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46239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40144-2023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45169</v>
      </c>
      <c r="E67" s="1" t="n">
        <v>46239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46239</v>
      </c>
      <c r="F68" t="inlineStr">
        <is>
          <t>VÄSTMANLANDS LÄN</t>
        </is>
      </c>
      <c r="G68" t="inlineStr">
        <is>
          <t>NORBERG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20381-2023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45056</v>
      </c>
      <c r="E69" s="1" t="n">
        <v>46239</v>
      </c>
      <c r="F69" t="inlineStr">
        <is>
          <t>VÄSTMANLANDS LÄN</t>
        </is>
      </c>
      <c r="G69" t="inlineStr">
        <is>
          <t>NORBERG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45233</v>
      </c>
      <c r="E70" s="1" t="n">
        <v>46239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46239</v>
      </c>
      <c r="F71" t="inlineStr">
        <is>
          <t>VÄSTMANLANDS LÄN</t>
        </is>
      </c>
      <c r="G71" t="inlineStr">
        <is>
          <t>NORBERG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23702-2024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45454</v>
      </c>
      <c r="E72" s="1" t="n">
        <v>46239</v>
      </c>
      <c r="F72" t="inlineStr">
        <is>
          <t>VÄSTMANLANDS LÄN</t>
        </is>
      </c>
      <c r="G72" t="inlineStr">
        <is>
          <t>NORBERG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23705-2024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45454</v>
      </c>
      <c r="E73" s="1" t="n">
        <v>46239</v>
      </c>
      <c r="F73" t="inlineStr">
        <is>
          <t>VÄSTMANLANDS LÄN</t>
        </is>
      </c>
      <c r="G73" t="inlineStr">
        <is>
          <t>NORBERG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20378-2023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45056</v>
      </c>
      <c r="E74" s="1" t="n">
        <v>46239</v>
      </c>
      <c r="F74" t="inlineStr">
        <is>
          <t>VÄSTMANLANDS LÄN</t>
        </is>
      </c>
      <c r="G74" t="inlineStr">
        <is>
          <t>NORBERG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46239</v>
      </c>
      <c r="F75" t="inlineStr">
        <is>
          <t>VÄSTMANLANDS LÄN</t>
        </is>
      </c>
      <c r="G75" t="inlineStr">
        <is>
          <t>NORBERG</t>
        </is>
      </c>
      <c r="H75" t="inlineStr">
        <is>
          <t>Bergvik skog väst AB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45408</v>
      </c>
      <c r="E76" s="1" t="n">
        <v>46239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46239</v>
      </c>
      <c r="F77" t="inlineStr">
        <is>
          <t>VÄSTMANLANDS LÄN</t>
        </is>
      </c>
      <c r="G77" t="inlineStr">
        <is>
          <t>NORBERG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45179</v>
      </c>
      <c r="E78" s="1" t="n">
        <v>46239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51790-2024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45607</v>
      </c>
      <c r="E79" s="1" t="n">
        <v>46239</v>
      </c>
      <c r="F79" t="inlineStr">
        <is>
          <t>VÄSTMANLANDS LÄN</t>
        </is>
      </c>
      <c r="G79" t="inlineStr">
        <is>
          <t>NORBERG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46239</v>
      </c>
      <c r="F80" t="inlineStr">
        <is>
          <t>VÄSTMANLANDS LÄN</t>
        </is>
      </c>
      <c r="G80" t="inlineStr">
        <is>
          <t>NORBERG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46239</v>
      </c>
      <c r="F81" t="inlineStr">
        <is>
          <t>VÄSTMANLANDS LÄN</t>
        </is>
      </c>
      <c r="G81" t="inlineStr">
        <is>
          <t>NORBERG</t>
        </is>
      </c>
      <c r="I81" t="n">
        <v>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19377-2025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45769</v>
      </c>
      <c r="E82" s="1" t="n">
        <v>46239</v>
      </c>
      <c r="F82" t="inlineStr">
        <is>
          <t>VÄSTMANLANDS LÄN</t>
        </is>
      </c>
      <c r="G82" t="inlineStr">
        <is>
          <t>NORBERG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37200-2023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46239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46239</v>
      </c>
      <c r="F84" t="inlineStr">
        <is>
          <t>VÄSTMANLANDS LÄN</t>
        </is>
      </c>
      <c r="G84" t="inlineStr">
        <is>
          <t>NORBERG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44973</v>
      </c>
      <c r="E85" s="1" t="n">
        <v>46239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46239</v>
      </c>
      <c r="F86" t="inlineStr">
        <is>
          <t>VÄSTMANLANDS LÄN</t>
        </is>
      </c>
      <c r="G86" t="inlineStr">
        <is>
          <t>NORBERG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45567</v>
      </c>
      <c r="E87" s="1" t="n">
        <v>46239</v>
      </c>
      <c r="F87" t="inlineStr">
        <is>
          <t>VÄSTMANLANDS LÄN</t>
        </is>
      </c>
      <c r="G87" t="inlineStr">
        <is>
          <t>NORBERG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45632</v>
      </c>
      <c r="E88" s="1" t="n">
        <v>46239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19075-2022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46239</v>
      </c>
      <c r="F89" t="inlineStr">
        <is>
          <t>VÄSTMANLANDS LÄN</t>
        </is>
      </c>
      <c r="G89" t="inlineStr">
        <is>
          <t>NORBERG</t>
        </is>
      </c>
      <c r="H89" t="inlineStr">
        <is>
          <t>Övriga Aktiebolag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45729</v>
      </c>
      <c r="E90" s="1" t="n">
        <v>46239</v>
      </c>
      <c r="F90" t="inlineStr">
        <is>
          <t>VÄSTMANLANDS LÄN</t>
        </is>
      </c>
      <c r="G90" t="inlineStr">
        <is>
          <t>NORBERG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46239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21504-2026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46239</v>
      </c>
      <c r="F92" t="inlineStr">
        <is>
          <t>VÄSTMANLANDS LÄN</t>
        </is>
      </c>
      <c r="G92" t="inlineStr">
        <is>
          <t>NORBERG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45586</v>
      </c>
      <c r="E93" s="1" t="n">
        <v>46239</v>
      </c>
      <c r="F93" t="inlineStr">
        <is>
          <t>VÄSTMANLANDS LÄN</t>
        </is>
      </c>
      <c r="G93" t="inlineStr">
        <is>
          <t>NORBERG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49001-2025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46239</v>
      </c>
      <c r="F94" t="inlineStr">
        <is>
          <t>VÄSTMANLANDS LÄN</t>
        </is>
      </c>
      <c r="G94" t="inlineStr">
        <is>
          <t>NORBERG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46149</v>
      </c>
      <c r="E95" s="1" t="n">
        <v>46239</v>
      </c>
      <c r="F95" t="inlineStr">
        <is>
          <t>VÄSTMANLANDS LÄN</t>
        </is>
      </c>
      <c r="G95" t="inlineStr">
        <is>
          <t>NORBERG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46239</v>
      </c>
      <c r="F96" t="inlineStr">
        <is>
          <t>VÄSTMANLANDS LÄN</t>
        </is>
      </c>
      <c r="G96" t="inlineStr">
        <is>
          <t>NORBERG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45034</v>
      </c>
      <c r="E97" s="1" t="n">
        <v>46239</v>
      </c>
      <c r="F97" t="inlineStr">
        <is>
          <t>VÄSTMANLANDS LÄN</t>
        </is>
      </c>
      <c r="G97" t="inlineStr">
        <is>
          <t>NORBERG</t>
        </is>
      </c>
      <c r="H97" t="inlineStr">
        <is>
          <t>Bergvik skog väst AB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46239</v>
      </c>
      <c r="F98" t="inlineStr">
        <is>
          <t>VÄSTMANLANDS LÄN</t>
        </is>
      </c>
      <c r="G98" t="inlineStr">
        <is>
          <t>NORBERG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46239</v>
      </c>
      <c r="F99" t="inlineStr">
        <is>
          <t>VÄSTMANLANDS LÄN</t>
        </is>
      </c>
      <c r="G99" t="inlineStr">
        <is>
          <t>NORBERG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45705</v>
      </c>
      <c r="E100" s="1" t="n">
        <v>46239</v>
      </c>
      <c r="F100" t="inlineStr">
        <is>
          <t>VÄSTMANLANDS LÄN</t>
        </is>
      </c>
      <c r="G100" t="inlineStr">
        <is>
          <t>NORBERG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46239</v>
      </c>
      <c r="F101" t="inlineStr">
        <is>
          <t>VÄSTMANLANDS LÄN</t>
        </is>
      </c>
      <c r="G101" t="inlineStr">
        <is>
          <t>NORBERG</t>
        </is>
      </c>
      <c r="H101" t="inlineStr">
        <is>
          <t>Bergvik skog väst AB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21990-2026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46239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21984-2026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46239</v>
      </c>
      <c r="F103" t="inlineStr">
        <is>
          <t>VÄSTMANLANDS LÄN</t>
        </is>
      </c>
      <c r="G103" t="inlineStr">
        <is>
          <t>NORBERG</t>
        </is>
      </c>
      <c r="H103" t="inlineStr">
        <is>
          <t>Övriga Aktiebolag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21976-2026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46239</v>
      </c>
      <c r="F104" t="inlineStr">
        <is>
          <t>VÄSTMANLANDS LÄN</t>
        </is>
      </c>
      <c r="G104" t="inlineStr">
        <is>
          <t>NORBERG</t>
        </is>
      </c>
      <c r="H104" t="inlineStr">
        <is>
          <t>Övriga Aktiebolag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21983-2026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46239</v>
      </c>
      <c r="F105" t="inlineStr">
        <is>
          <t>VÄSTMANLANDS LÄN</t>
        </is>
      </c>
      <c r="G105" t="inlineStr">
        <is>
          <t>NORBERG</t>
        </is>
      </c>
      <c r="H105" t="inlineStr">
        <is>
          <t>Övriga Aktiebolag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46239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45191</v>
      </c>
      <c r="E107" s="1" t="n">
        <v>46239</v>
      </c>
      <c r="F107" t="inlineStr">
        <is>
          <t>VÄSTMANLANDS LÄN</t>
        </is>
      </c>
      <c r="G107" t="inlineStr">
        <is>
          <t>NORBERG</t>
        </is>
      </c>
      <c r="H107" t="inlineStr">
        <is>
          <t>Bergvik skog väst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46041-2023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46239</v>
      </c>
      <c r="F108" t="inlineStr">
        <is>
          <t>VÄSTMANLANDS LÄN</t>
        </is>
      </c>
      <c r="G108" t="inlineStr">
        <is>
          <t>NORBERG</t>
        </is>
      </c>
      <c r="H108" t="inlineStr">
        <is>
          <t>Bergvik skog väst AB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73797-2021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44552</v>
      </c>
      <c r="E109" s="1" t="n">
        <v>46239</v>
      </c>
      <c r="F109" t="inlineStr">
        <is>
          <t>VÄSTMANLANDS LÄN</t>
        </is>
      </c>
      <c r="G109" t="inlineStr">
        <is>
          <t>NORBERG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46197</v>
      </c>
      <c r="E110" s="1" t="n">
        <v>46239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46197</v>
      </c>
      <c r="E111" s="1" t="n">
        <v>46239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45390</v>
      </c>
      <c r="E112" s="1" t="n">
        <v>46239</v>
      </c>
      <c r="F112" t="inlineStr">
        <is>
          <t>VÄSTMANLANDS LÄN</t>
        </is>
      </c>
      <c r="G112" t="inlineStr">
        <is>
          <t>NORBERG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54670-2025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45966</v>
      </c>
      <c r="E113" s="1" t="n">
        <v>46239</v>
      </c>
      <c r="F113" t="inlineStr">
        <is>
          <t>VÄSTMANLANDS LÄN</t>
        </is>
      </c>
      <c r="G113" t="inlineStr">
        <is>
          <t>NORBERG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45792</v>
      </c>
      <c r="E114" s="1" t="n">
        <v>46239</v>
      </c>
      <c r="F114" t="inlineStr">
        <is>
          <t>VÄSTMANLANDS LÄN</t>
        </is>
      </c>
      <c r="G114" t="inlineStr">
        <is>
          <t>NORBERG</t>
        </is>
      </c>
      <c r="H114" t="inlineStr">
        <is>
          <t>Övriga Aktiebolag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46239</v>
      </c>
      <c r="F115" t="inlineStr">
        <is>
          <t>VÄSTMANLANDS LÄN</t>
        </is>
      </c>
      <c r="G115" t="inlineStr">
        <is>
          <t>NORBERG</t>
        </is>
      </c>
      <c r="H115" t="inlineStr">
        <is>
          <t>Övriga Aktiebolag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56400-2025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45974</v>
      </c>
      <c r="E116" s="1" t="n">
        <v>46239</v>
      </c>
      <c r="F116" t="inlineStr">
        <is>
          <t>VÄSTMANLANDS LÄN</t>
        </is>
      </c>
      <c r="G116" t="inlineStr">
        <is>
          <t>NORBERG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46239</v>
      </c>
      <c r="F117" t="inlineStr">
        <is>
          <t>VÄSTMANLANDS LÄN</t>
        </is>
      </c>
      <c r="G117" t="inlineStr">
        <is>
          <t>NORBERG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56726-2025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46239</v>
      </c>
      <c r="F118" t="inlineStr">
        <is>
          <t>VÄSTMANLANDS LÄN</t>
        </is>
      </c>
      <c r="G118" t="inlineStr">
        <is>
          <t>NORBERG</t>
        </is>
      </c>
      <c r="H118" t="inlineStr">
        <is>
          <t>Övriga Aktiebolag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46239</v>
      </c>
      <c r="F119" t="inlineStr">
        <is>
          <t>VÄSTMANLANDS LÄN</t>
        </is>
      </c>
      <c r="G119" t="inlineStr">
        <is>
          <t>NORBERG</t>
        </is>
      </c>
      <c r="H119" t="inlineStr">
        <is>
          <t>Övriga Aktiebolag</t>
        </is>
      </c>
      <c r="I119" t="n">
        <v>9.300000000000001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45155</v>
      </c>
      <c r="E120" s="1" t="n">
        <v>46239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46239</v>
      </c>
      <c r="F121" t="inlineStr">
        <is>
          <t>VÄSTMANLANDS LÄN</t>
        </is>
      </c>
      <c r="G121" t="inlineStr">
        <is>
          <t>NORBERG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46239</v>
      </c>
      <c r="F122" t="inlineStr">
        <is>
          <t>VÄSTMANLANDS LÄN</t>
        </is>
      </c>
      <c r="G122" t="inlineStr">
        <is>
          <t>NORBERG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45200</v>
      </c>
      <c r="E123" s="1" t="n">
        <v>46239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46239</v>
      </c>
      <c r="F124" t="inlineStr">
        <is>
          <t>VÄSTMANLANDS LÄN</t>
        </is>
      </c>
      <c r="G124" t="inlineStr">
        <is>
          <t>NORBERG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62883-2025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46239</v>
      </c>
      <c r="F125" t="inlineStr">
        <is>
          <t>VÄSTMANLANDS LÄN</t>
        </is>
      </c>
      <c r="G125" t="inlineStr">
        <is>
          <t>NORBERG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45764</v>
      </c>
      <c r="E126" s="1" t="n">
        <v>46239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46008</v>
      </c>
      <c r="E127" s="1" t="n">
        <v>46239</v>
      </c>
      <c r="F127" t="inlineStr">
        <is>
          <t>VÄSTMANLANDS LÄN</t>
        </is>
      </c>
      <c r="G127" t="inlineStr">
        <is>
          <t>NORBERG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62881-2025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46008</v>
      </c>
      <c r="E128" s="1" t="n">
        <v>46239</v>
      </c>
      <c r="F128" t="inlineStr">
        <is>
          <t>VÄSTMANLANDS LÄN</t>
        </is>
      </c>
      <c r="G128" t="inlineStr">
        <is>
          <t>NORBERG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46014</v>
      </c>
      <c r="E129" s="1" t="n">
        <v>46239</v>
      </c>
      <c r="F129" t="inlineStr">
        <is>
          <t>VÄSTMANLANDS LÄN</t>
        </is>
      </c>
      <c r="G129" t="inlineStr">
        <is>
          <t>NORBERG</t>
        </is>
      </c>
      <c r="I129" t="n">
        <v>22.8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46014</v>
      </c>
      <c r="E130" s="1" t="n">
        <v>46239</v>
      </c>
      <c r="F130" t="inlineStr">
        <is>
          <t>VÄSTMANLANDS LÄN</t>
        </is>
      </c>
      <c r="G130" t="inlineStr">
        <is>
          <t>NORBERG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63907-2025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46020</v>
      </c>
      <c r="E131" s="1" t="n">
        <v>46239</v>
      </c>
      <c r="F131" t="inlineStr">
        <is>
          <t>VÄSTMANLANDS LÄN</t>
        </is>
      </c>
      <c r="G131" t="inlineStr">
        <is>
          <t>NORBERG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46176</v>
      </c>
      <c r="E132" s="1" t="n">
        <v>46239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45474</v>
      </c>
      <c r="E133" s="1" t="n">
        <v>46239</v>
      </c>
      <c r="F133" t="inlineStr">
        <is>
          <t>VÄSTMANLANDS LÄN</t>
        </is>
      </c>
      <c r="G133" t="inlineStr">
        <is>
          <t>NORBERG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46223</v>
      </c>
      <c r="E134" s="1" t="n">
        <v>46239</v>
      </c>
      <c r="F134" t="inlineStr">
        <is>
          <t>VÄSTMANLANDS LÄN</t>
        </is>
      </c>
      <c r="G134" t="inlineStr">
        <is>
          <t>NORBERG</t>
        </is>
      </c>
      <c r="I134" t="n">
        <v>9.800000000000001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46045</v>
      </c>
      <c r="E135" s="1" t="n">
        <v>46239</v>
      </c>
      <c r="F135" t="inlineStr">
        <is>
          <t>VÄSTMANLANDS LÄN</t>
        </is>
      </c>
      <c r="G135" t="inlineStr">
        <is>
          <t>NORBERG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46239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46239</v>
      </c>
      <c r="F137" t="inlineStr">
        <is>
          <t>VÄSTMANLANDS LÄN</t>
        </is>
      </c>
      <c r="G137" t="inlineStr">
        <is>
          <t>NORBERG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46239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31972-2026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46232</v>
      </c>
      <c r="E139" s="1" t="n">
        <v>46239</v>
      </c>
      <c r="F139" t="inlineStr">
        <is>
          <t>VÄSTMANLANDS LÄN</t>
        </is>
      </c>
      <c r="G139" t="inlineStr">
        <is>
          <t>NORBERG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60339-2025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45994</v>
      </c>
      <c r="E140" s="1" t="n">
        <v>46239</v>
      </c>
      <c r="F140" t="inlineStr">
        <is>
          <t>VÄSTMANLANDS LÄN</t>
        </is>
      </c>
      <c r="G140" t="inlineStr">
        <is>
          <t>NORBERG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46239</v>
      </c>
      <c r="F141" t="inlineStr">
        <is>
          <t>VÄSTMANLANDS LÄN</t>
        </is>
      </c>
      <c r="G141" t="inlineStr">
        <is>
          <t>NORBERG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46232</v>
      </c>
      <c r="E142" s="1" t="n">
        <v>46239</v>
      </c>
      <c r="F142" t="inlineStr">
        <is>
          <t>VÄSTMANLANDS LÄN</t>
        </is>
      </c>
      <c r="G142" t="inlineStr">
        <is>
          <t>NORBERG</t>
        </is>
      </c>
      <c r="H142" t="inlineStr">
        <is>
          <t>Bergvik skog väst AB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32062-2026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46233</v>
      </c>
      <c r="E143" s="1" t="n">
        <v>46239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44852</v>
      </c>
      <c r="E144" s="1" t="n">
        <v>46239</v>
      </c>
      <c r="F144" t="inlineStr">
        <is>
          <t>VÄSTMANLANDS LÄN</t>
        </is>
      </c>
      <c r="G144" t="inlineStr">
        <is>
          <t>NORBERG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46239</v>
      </c>
      <c r="F145" t="inlineStr">
        <is>
          <t>VÄSTMANLANDS LÄN</t>
        </is>
      </c>
      <c r="G145" t="inlineStr">
        <is>
          <t>NORBERG</t>
        </is>
      </c>
      <c r="H145" t="inlineStr">
        <is>
          <t>Bergvik skog väst AB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45089</v>
      </c>
      <c r="E146" s="1" t="n">
        <v>46239</v>
      </c>
      <c r="F146" t="inlineStr">
        <is>
          <t>VÄSTMANLANDS LÄN</t>
        </is>
      </c>
      <c r="G146" t="inlineStr">
        <is>
          <t>NORBERG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46190</v>
      </c>
      <c r="E147" s="1" t="n">
        <v>46239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32385-2026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46238</v>
      </c>
      <c r="E148" s="1" t="n">
        <v>46239</v>
      </c>
      <c r="F148" t="inlineStr">
        <is>
          <t>VÄSTMANLANDS LÄN</t>
        </is>
      </c>
      <c r="G148" t="inlineStr">
        <is>
          <t>NORBERG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46239</v>
      </c>
      <c r="F149" t="inlineStr">
        <is>
          <t>VÄSTMANLANDS LÄN</t>
        </is>
      </c>
      <c r="G149" t="inlineStr">
        <is>
          <t>NORBERG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13471-2026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46239</v>
      </c>
      <c r="F150" t="inlineStr">
        <is>
          <t>VÄSTMANLANDS LÄN</t>
        </is>
      </c>
      <c r="G150" t="inlineStr">
        <is>
          <t>NORBERG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14234-2026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46239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44992</v>
      </c>
      <c r="E152" s="1" t="n">
        <v>46239</v>
      </c>
      <c r="F152" t="inlineStr">
        <is>
          <t>VÄSTMANLANDS LÄN</t>
        </is>
      </c>
      <c r="G152" t="inlineStr">
        <is>
          <t>NORBERG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46239</v>
      </c>
      <c r="F153" t="inlineStr">
        <is>
          <t>VÄSTMANLANDS LÄN</t>
        </is>
      </c>
      <c r="G153" t="inlineStr">
        <is>
          <t>NORBERG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46105</v>
      </c>
      <c r="E154" s="1" t="n">
        <v>46239</v>
      </c>
      <c r="F154" t="inlineStr">
        <is>
          <t>VÄSTMANLANDS LÄN</t>
        </is>
      </c>
      <c r="G154" t="inlineStr">
        <is>
          <t>NORBERG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46239</v>
      </c>
      <c r="F155" t="inlineStr">
        <is>
          <t>VÄSTMANLANDS LÄN</t>
        </is>
      </c>
      <c r="G155" t="inlineStr">
        <is>
          <t>NORBERG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46239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15981-2026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46239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46239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16897-2026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46239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46239</v>
      </c>
      <c r="F160" t="inlineStr">
        <is>
          <t>VÄSTMANLANDS LÄN</t>
        </is>
      </c>
      <c r="G160" t="inlineStr">
        <is>
          <t>NORBERG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16225-2023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45028</v>
      </c>
      <c r="E161" s="1" t="n">
        <v>46239</v>
      </c>
      <c r="F161" t="inlineStr">
        <is>
          <t>VÄSTMANLANDS LÄN</t>
        </is>
      </c>
      <c r="G161" t="inlineStr">
        <is>
          <t>NORBERG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46114</v>
      </c>
      <c r="E162" s="1" t="n">
        <v>46239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46239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43103-2024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45567</v>
      </c>
      <c r="E164" s="1" t="n">
        <v>46239</v>
      </c>
      <c r="F164" t="inlineStr">
        <is>
          <t>VÄSTMANLANDS LÄN</t>
        </is>
      </c>
      <c r="G164" t="inlineStr">
        <is>
          <t>NORBERG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46239</v>
      </c>
      <c r="F165" t="inlineStr">
        <is>
          <t>VÄSTMANLANDS LÄN</t>
        </is>
      </c>
      <c r="G165" t="inlineStr">
        <is>
          <t>NORBERG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45205</v>
      </c>
      <c r="E166" s="1" t="n">
        <v>46239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45121</v>
      </c>
      <c r="E167" s="1" t="n">
        <v>46239</v>
      </c>
      <c r="F167" t="inlineStr">
        <is>
          <t>VÄSTMANLANDS LÄN</t>
        </is>
      </c>
      <c r="G167" t="inlineStr">
        <is>
          <t>NORBERG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26072-2023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46239</v>
      </c>
      <c r="F168" t="inlineStr">
        <is>
          <t>VÄSTMANLANDS LÄN</t>
        </is>
      </c>
      <c r="G168" t="inlineStr">
        <is>
          <t>NORBERG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56940-2021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44480</v>
      </c>
      <c r="E169" s="1" t="n">
        <v>46239</v>
      </c>
      <c r="F169" t="inlineStr">
        <is>
          <t>VÄSTMANLANDS LÄN</t>
        </is>
      </c>
      <c r="G169" t="inlineStr">
        <is>
          <t>NORBERG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46239</v>
      </c>
      <c r="F170" t="inlineStr">
        <is>
          <t>VÄSTMANLANDS LÄN</t>
        </is>
      </c>
      <c r="G170" t="inlineStr">
        <is>
          <t>NORBERG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63777-2025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46019</v>
      </c>
      <c r="E171" s="1" t="n">
        <v>46239</v>
      </c>
      <c r="F171" t="inlineStr">
        <is>
          <t>VÄSTMANLANDS LÄN</t>
        </is>
      </c>
      <c r="G171" t="inlineStr">
        <is>
          <t>NORBERG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46239</v>
      </c>
      <c r="F172" t="inlineStr">
        <is>
          <t>VÄSTMANLANDS LÄN</t>
        </is>
      </c>
      <c r="G172" t="inlineStr">
        <is>
          <t>NORBERG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45440</v>
      </c>
      <c r="E173" s="1" t="n">
        <v>46239</v>
      </c>
      <c r="F173" t="inlineStr">
        <is>
          <t>VÄSTMANLANDS LÄN</t>
        </is>
      </c>
      <c r="G173" t="inlineStr">
        <is>
          <t>NORBERG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46139</v>
      </c>
      <c r="E174" s="1" t="n">
        <v>46239</v>
      </c>
      <c r="F174" t="inlineStr">
        <is>
          <t>VÄSTMANLANDS LÄN</t>
        </is>
      </c>
      <c r="G174" t="inlineStr">
        <is>
          <t>NORBERG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46239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46045-2023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45196</v>
      </c>
      <c r="E176" s="1" t="n">
        <v>46239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50005-2024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45598</v>
      </c>
      <c r="E177" s="1" t="n">
        <v>46239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46239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46239</v>
      </c>
      <c r="F179" t="inlineStr">
        <is>
          <t>VÄSTMANLANDS LÄN</t>
        </is>
      </c>
      <c r="G179" t="inlineStr">
        <is>
          <t>NORBERG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46239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20968-2026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46142</v>
      </c>
      <c r="E181" s="1" t="n">
        <v>46239</v>
      </c>
      <c r="F181" t="inlineStr">
        <is>
          <t>VÄSTMANLANDS LÄN</t>
        </is>
      </c>
      <c r="G181" t="inlineStr">
        <is>
          <t>NORBERG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46239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12.1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21526-2026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46148</v>
      </c>
      <c r="E183" s="1" t="n">
        <v>46239</v>
      </c>
      <c r="F183" t="inlineStr">
        <is>
          <t>VÄSTMANLANDS LÄN</t>
        </is>
      </c>
      <c r="G183" t="inlineStr">
        <is>
          <t>NORBERG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45699</v>
      </c>
      <c r="E184" s="1" t="n">
        <v>46239</v>
      </c>
      <c r="F184" t="inlineStr">
        <is>
          <t>VÄSTMANLANDS LÄN</t>
        </is>
      </c>
      <c r="G184" t="inlineStr">
        <is>
          <t>NORBERG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46239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46239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46239</v>
      </c>
      <c r="F187" t="inlineStr">
        <is>
          <t>VÄSTMANLANDS LÄN</t>
        </is>
      </c>
      <c r="G187" t="inlineStr">
        <is>
          <t>NORBERG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S 409-2022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44585</v>
      </c>
      <c r="E188" s="1" t="n">
        <v>46239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10.9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>
      <c r="A189" t="inlineStr">
        <is>
          <t>S 606-2026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46085</v>
      </c>
      <c r="E189" s="1" t="n">
        <v>46239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26.4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2026-08-05T20:36:39Z</dcterms:created>
  <dcterms:modified xmlns:dcterms="http://purl.org/dc/terms/" xmlns:xsi="http://www.w3.org/2001/XMLSchema-instance" xsi:type="dcterms:W3CDTF">2026-08-05T20:36:39Z</dcterms:modified>
</cp:coreProperties>
</file>