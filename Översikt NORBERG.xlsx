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46301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46301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46301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46301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46301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46301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46301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46301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46301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46301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34967-2023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45142</v>
      </c>
      <c r="E17" s="1" t="n">
        <v>46301</v>
      </c>
      <c r="F17" t="inlineStr">
        <is>
          <t>VÄSTMANLANDS LÄN</t>
        </is>
      </c>
      <c r="G17" t="inlineStr">
        <is>
          <t>NORBERG</t>
        </is>
      </c>
      <c r="H17" t="inlineStr">
        <is>
          <t>Kyrkan</t>
        </is>
      </c>
      <c r="I17" t="n">
        <v>0.6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Skogsklocka</t>
        </is>
      </c>
      <c r="W17">
        <f>HYPERLINK("https://klasma.github.io/Logging_1962/artfynd/A 34967-2023 artfynd.xlsx", "A 34967-2023")</f>
        <v/>
      </c>
      <c r="X17">
        <f>HYPERLINK("https://klasma.github.io/Logging_1962/kartor/A 34967-2023 karta.png", "A 34967-2023")</f>
        <v/>
      </c>
      <c r="Y17">
        <f>HYPERLINK("https://klasma.github.io/Logging_1962/kartor_geotiff/A 34967-2023 georefererad karta.tif", "A 34967-2023")</f>
        <v/>
      </c>
      <c r="AA17">
        <f>HYPERLINK("https://klasma.github.io/Logging_1962/klagomål/A 34967-2023 FSC-klagomål.docx", "A 34967-2023")</f>
        <v/>
      </c>
      <c r="AB17">
        <f>HYPERLINK("https://klasma.github.io/Logging_1962/klagomålsmail/A 34967-2023 FSC-klagomål mail.docx", "A 34967-2023")</f>
        <v/>
      </c>
      <c r="AC17">
        <f>HYPERLINK("https://klasma.github.io/Logging_1962/tillsyn/A 34967-2023 tillsynsbegäran.docx", "A 34967-2023")</f>
        <v/>
      </c>
      <c r="AD17">
        <f>HYPERLINK("https://klasma.github.io/Logging_1962/tillsynsmail/A 34967-2023 tillsynsbegäran mail.docx", "A 34967-2023")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46301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46301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46301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46301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46301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46301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46301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61099-2024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46301</v>
      </c>
      <c r="F25" t="inlineStr">
        <is>
          <t>VÄSTMANLANDS LÄN</t>
        </is>
      </c>
      <c r="G25" t="inlineStr">
        <is>
          <t>NORBERG</t>
        </is>
      </c>
      <c r="I25" t="n">
        <v>0.4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61099-2024 artfynd.xlsx", "A 61099-2024")</f>
        <v/>
      </c>
      <c r="X25">
        <f>HYPERLINK("https://klasma.github.io/Logging_1962/kartor/A 61099-2024 karta.png", "A 61099-2024")</f>
        <v/>
      </c>
      <c r="Y25">
        <f>HYPERLINK("https://klasma.github.io/Logging_1962/kartor_geotiff/A 61099-2024 georefererad karta.tif", "A 61099-2024")</f>
        <v/>
      </c>
      <c r="AA25">
        <f>HYPERLINK("https://klasma.github.io/Logging_1962/klagomål/A 61099-2024 FSC-klagomål.docx", "A 61099-2024")</f>
        <v/>
      </c>
      <c r="AB25">
        <f>HYPERLINK("https://klasma.github.io/Logging_1962/klagomålsmail/A 61099-2024 FSC-klagomål mail.docx", "A 61099-2024")</f>
        <v/>
      </c>
      <c r="AC25">
        <f>HYPERLINK("https://klasma.github.io/Logging_1962/tillsyn/A 61099-2024 tillsynsbegäran.docx", "A 61099-2024")</f>
        <v/>
      </c>
      <c r="AD25">
        <f>HYPERLINK("https://klasma.github.io/Logging_1962/tillsynsmail/A 61099-2024 tillsynsbegäran mail.docx", "A 61099-2024")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46301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46301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46301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46301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46301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46301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46301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46301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46301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46301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46301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46301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46301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46301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46301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46301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46301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46301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46301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46301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67356-2021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46301</v>
      </c>
      <c r="F47" t="inlineStr">
        <is>
          <t>VÄSTMANLANDS LÄN</t>
        </is>
      </c>
      <c r="G47" t="inlineStr">
        <is>
          <t>NORBERG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46301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46301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46301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36905-2023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45154</v>
      </c>
      <c r="E51" s="1" t="n">
        <v>46301</v>
      </c>
      <c r="F51" t="inlineStr">
        <is>
          <t>VÄSTMANLANDS LÄN</t>
        </is>
      </c>
      <c r="G51" t="inlineStr">
        <is>
          <t>NORBERG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45169</v>
      </c>
      <c r="E52" s="1" t="n">
        <v>46301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46301</v>
      </c>
      <c r="F53" t="inlineStr">
        <is>
          <t>VÄSTMANLANDS LÄN</t>
        </is>
      </c>
      <c r="G53" t="inlineStr">
        <is>
          <t>NORBERG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45089</v>
      </c>
      <c r="E54" s="1" t="n">
        <v>46301</v>
      </c>
      <c r="F54" t="inlineStr">
        <is>
          <t>VÄSTMANLANDS LÄN</t>
        </is>
      </c>
      <c r="G54" t="inlineStr">
        <is>
          <t>NORBERG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20378-2023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45056</v>
      </c>
      <c r="E55" s="1" t="n">
        <v>46301</v>
      </c>
      <c r="F55" t="inlineStr">
        <is>
          <t>VÄSTMANLANDS LÄN</t>
        </is>
      </c>
      <c r="G55" t="inlineStr">
        <is>
          <t>NORBERG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46301</v>
      </c>
      <c r="F56" t="inlineStr">
        <is>
          <t>VÄSTMANLANDS LÄN</t>
        </is>
      </c>
      <c r="G56" t="inlineStr">
        <is>
          <t>NORBERG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45408</v>
      </c>
      <c r="E57" s="1" t="n">
        <v>46301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46301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46301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45405</v>
      </c>
      <c r="E60" s="1" t="n">
        <v>46301</v>
      </c>
      <c r="F60" t="inlineStr">
        <is>
          <t>VÄSTMANLANDS LÄN</t>
        </is>
      </c>
      <c r="G60" t="inlineStr">
        <is>
          <t>NORBERG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37200-2023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46301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46301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46301</v>
      </c>
      <c r="F63" t="inlineStr">
        <is>
          <t>VÄSTMANLANDS LÄN</t>
        </is>
      </c>
      <c r="G63" t="inlineStr">
        <is>
          <t>NORBERG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45613</v>
      </c>
      <c r="E64" s="1" t="n">
        <v>46301</v>
      </c>
      <c r="F64" t="inlineStr">
        <is>
          <t>VÄSTMANLANDS LÄN</t>
        </is>
      </c>
      <c r="G64" t="inlineStr">
        <is>
          <t>NORBERG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51793-2024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45607</v>
      </c>
      <c r="E65" s="1" t="n">
        <v>46301</v>
      </c>
      <c r="F65" t="inlineStr">
        <is>
          <t>VÄSTMANLANDS LÄN</t>
        </is>
      </c>
      <c r="G65" t="inlineStr">
        <is>
          <t>NORBERG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9907-2024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45363</v>
      </c>
      <c r="E66" s="1" t="n">
        <v>46301</v>
      </c>
      <c r="F66" t="inlineStr">
        <is>
          <t>VÄSTMANLANDS LÄN</t>
        </is>
      </c>
      <c r="G66" t="inlineStr">
        <is>
          <t>NORBERG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46301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15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45882</v>
      </c>
      <c r="E68" s="1" t="n">
        <v>46301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46301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46301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60339-2025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45994</v>
      </c>
      <c r="E71" s="1" t="n">
        <v>46301</v>
      </c>
      <c r="F71" t="inlineStr">
        <is>
          <t>VÄSTMANLANDS LÄN</t>
        </is>
      </c>
      <c r="G71" t="inlineStr">
        <is>
          <t>NORBERG</t>
        </is>
      </c>
      <c r="H71" t="inlineStr">
        <is>
          <t>Kommuner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57993-2024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45631</v>
      </c>
      <c r="E72" s="1" t="n">
        <v>46301</v>
      </c>
      <c r="F72" t="inlineStr">
        <is>
          <t>VÄSTMANLANDS LÄN</t>
        </is>
      </c>
      <c r="G72" t="inlineStr">
        <is>
          <t>NORBERG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46301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46301</v>
      </c>
      <c r="F74" t="inlineStr">
        <is>
          <t>VÄSTMANLANDS LÄN</t>
        </is>
      </c>
      <c r="G74" t="inlineStr">
        <is>
          <t>NORBERG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46301</v>
      </c>
      <c r="F75" t="inlineStr">
        <is>
          <t>VÄSTMANLANDS LÄN</t>
        </is>
      </c>
      <c r="G75" t="inlineStr">
        <is>
          <t>NORBERG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45966</v>
      </c>
      <c r="E76" s="1" t="n">
        <v>46301</v>
      </c>
      <c r="F76" t="inlineStr">
        <is>
          <t>VÄSTMANLANDS LÄN</t>
        </is>
      </c>
      <c r="G76" t="inlineStr">
        <is>
          <t>NORBERG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46099</v>
      </c>
      <c r="E77" s="1" t="n">
        <v>46301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73797-2021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46301</v>
      </c>
      <c r="F78" t="inlineStr">
        <is>
          <t>VÄSTMANLANDS LÄN</t>
        </is>
      </c>
      <c r="G78" t="inlineStr">
        <is>
          <t>NORBERG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45155</v>
      </c>
      <c r="E79" s="1" t="n">
        <v>46301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46105</v>
      </c>
      <c r="E80" s="1" t="n">
        <v>46301</v>
      </c>
      <c r="F80" t="inlineStr">
        <is>
          <t>VÄSTMANLANDS LÄN</t>
        </is>
      </c>
      <c r="G80" t="inlineStr">
        <is>
          <t>NORBERG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46301</v>
      </c>
      <c r="F81" t="inlineStr">
        <is>
          <t>VÄSTMANLANDS LÄN</t>
        </is>
      </c>
      <c r="G81" t="inlineStr">
        <is>
          <t>NORBERG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46301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15981-2026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46108</v>
      </c>
      <c r="E83" s="1" t="n">
        <v>46301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46301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46113</v>
      </c>
      <c r="E85" s="1" t="n">
        <v>46301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46301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46301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46301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45200</v>
      </c>
      <c r="E89" s="1" t="n">
        <v>46301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46301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46301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46301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46301</v>
      </c>
      <c r="F93" t="inlineStr">
        <is>
          <t>VÄSTMANLANDS LÄN</t>
        </is>
      </c>
      <c r="G93" t="inlineStr">
        <is>
          <t>NORBERG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46301</v>
      </c>
      <c r="F94" t="inlineStr">
        <is>
          <t>VÄSTMANLANDS LÄN</t>
        </is>
      </c>
      <c r="G94" t="inlineStr">
        <is>
          <t>NORBERG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46301</v>
      </c>
      <c r="F95" t="inlineStr">
        <is>
          <t>VÄSTMANLANDS LÄN</t>
        </is>
      </c>
      <c r="G95" t="inlineStr">
        <is>
          <t>NORBERG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46301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46301</v>
      </c>
      <c r="F97" t="inlineStr">
        <is>
          <t>VÄSTMANLANDS LÄN</t>
        </is>
      </c>
      <c r="G97" t="inlineStr">
        <is>
          <t>NORBERG</t>
        </is>
      </c>
      <c r="I97" t="n">
        <v>22.8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46301</v>
      </c>
      <c r="F98" t="inlineStr">
        <is>
          <t>VÄSTMANLANDS LÄN</t>
        </is>
      </c>
      <c r="G98" t="inlineStr">
        <is>
          <t>NORBERG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46014</v>
      </c>
      <c r="E99" s="1" t="n">
        <v>46301</v>
      </c>
      <c r="F99" t="inlineStr">
        <is>
          <t>VÄSTMANLANDS LÄN</t>
        </is>
      </c>
      <c r="G99" t="inlineStr">
        <is>
          <t>NORBERG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46301</v>
      </c>
      <c r="F100" t="inlineStr">
        <is>
          <t>VÄSTMANLANDS LÄN</t>
        </is>
      </c>
      <c r="G100" t="inlineStr">
        <is>
          <t>NORBERG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46301</v>
      </c>
      <c r="F101" t="inlineStr">
        <is>
          <t>VÄSTMANLANDS LÄN</t>
        </is>
      </c>
      <c r="G101" t="inlineStr">
        <is>
          <t>NORBERG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46301</v>
      </c>
      <c r="F102" t="inlineStr">
        <is>
          <t>VÄSTMANLANDS LÄN</t>
        </is>
      </c>
      <c r="G102" t="inlineStr">
        <is>
          <t>NORBERG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46301</v>
      </c>
      <c r="F103" t="inlineStr">
        <is>
          <t>VÄSTMANLANDS LÄN</t>
        </is>
      </c>
      <c r="G103" t="inlineStr">
        <is>
          <t>NORBERG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56940-2021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44480</v>
      </c>
      <c r="E104" s="1" t="n">
        <v>46301</v>
      </c>
      <c r="F104" t="inlineStr">
        <is>
          <t>VÄSTMANLANDS LÄN</t>
        </is>
      </c>
      <c r="G104" t="inlineStr">
        <is>
          <t>NORBERG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46301</v>
      </c>
      <c r="F105" t="inlineStr">
        <is>
          <t>VÄSTMANLANDS LÄN</t>
        </is>
      </c>
      <c r="G105" t="inlineStr">
        <is>
          <t>NORBERG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46301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11664-2023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46301</v>
      </c>
      <c r="F107" t="inlineStr">
        <is>
          <t>VÄSTMANLANDS LÄN</t>
        </is>
      </c>
      <c r="G107" t="inlineStr">
        <is>
          <t>NORBERG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45598</v>
      </c>
      <c r="E108" s="1" t="n">
        <v>46301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46301</v>
      </c>
      <c r="F109" t="inlineStr">
        <is>
          <t>VÄSTMANLANDS LÄN</t>
        </is>
      </c>
      <c r="G109" t="inlineStr">
        <is>
          <t>NORBERG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46301</v>
      </c>
      <c r="F110" t="inlineStr">
        <is>
          <t>VÄSTMANLANDS LÄN</t>
        </is>
      </c>
      <c r="G110" t="inlineStr">
        <is>
          <t>NORBERG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46301</v>
      </c>
      <c r="F111" t="inlineStr">
        <is>
          <t>VÄSTMANLANDS LÄN</t>
        </is>
      </c>
      <c r="G111" t="inlineStr">
        <is>
          <t>NORBERG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20968-2026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46142</v>
      </c>
      <c r="E112" s="1" t="n">
        <v>46301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46301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46301</v>
      </c>
      <c r="F114" t="inlineStr">
        <is>
          <t>VÄSTMANLANDS LÄN</t>
        </is>
      </c>
      <c r="G114" t="inlineStr">
        <is>
          <t>NORBERG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21218-2026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46146</v>
      </c>
      <c r="E115" s="1" t="n">
        <v>46301</v>
      </c>
      <c r="F115" t="inlineStr">
        <is>
          <t>VÄSTMANLANDS LÄN</t>
        </is>
      </c>
      <c r="G115" t="inlineStr">
        <is>
          <t>NORBERG</t>
        </is>
      </c>
      <c r="H115" t="inlineStr">
        <is>
          <t>Bergvik skog väst AB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46148</v>
      </c>
      <c r="E116" s="1" t="n">
        <v>46301</v>
      </c>
      <c r="F116" t="inlineStr">
        <is>
          <t>VÄSTMANLANDS LÄN</t>
        </is>
      </c>
      <c r="G116" t="inlineStr">
        <is>
          <t>NORBERG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46301</v>
      </c>
      <c r="F117" t="inlineStr">
        <is>
          <t>VÄSTMANLANDS LÄN</t>
        </is>
      </c>
      <c r="G117" t="inlineStr">
        <is>
          <t>NORBERG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46301</v>
      </c>
      <c r="F118" t="inlineStr">
        <is>
          <t>VÄSTMANLANDS LÄN</t>
        </is>
      </c>
      <c r="G118" t="inlineStr">
        <is>
          <t>NORBERG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46301</v>
      </c>
      <c r="F119" t="inlineStr">
        <is>
          <t>VÄSTMANLANDS LÄN</t>
        </is>
      </c>
      <c r="G119" t="inlineStr">
        <is>
          <t>NORBERG</t>
        </is>
      </c>
      <c r="H119" t="inlineStr">
        <is>
          <t>Bergvik skog väst AB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48396-2023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46301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45974</v>
      </c>
      <c r="E121" s="1" t="n">
        <v>46301</v>
      </c>
      <c r="F121" t="inlineStr">
        <is>
          <t>VÄSTMANLANDS LÄN</t>
        </is>
      </c>
      <c r="G121" t="inlineStr">
        <is>
          <t>NORBERG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45121</v>
      </c>
      <c r="E122" s="1" t="n">
        <v>46301</v>
      </c>
      <c r="F122" t="inlineStr">
        <is>
          <t>VÄSTMANLANDS LÄN</t>
        </is>
      </c>
      <c r="G122" t="inlineStr">
        <is>
          <t>NORBERG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46301</v>
      </c>
      <c r="F123" t="inlineStr">
        <is>
          <t>VÄSTMANLANDS LÄN</t>
        </is>
      </c>
      <c r="G123" t="inlineStr">
        <is>
          <t>NORBERG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46301</v>
      </c>
      <c r="F124" t="inlineStr">
        <is>
          <t>VÄSTMANLANDS LÄN</t>
        </is>
      </c>
      <c r="G124" t="inlineStr">
        <is>
          <t>NORBERG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46301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46176</v>
      </c>
      <c r="E126" s="1" t="n">
        <v>46301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46301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46301</v>
      </c>
      <c r="F128" t="inlineStr">
        <is>
          <t>VÄSTMANLANDS LÄN</t>
        </is>
      </c>
      <c r="G128" t="inlineStr">
        <is>
          <t>NORBERG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46301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46301</v>
      </c>
      <c r="F130" t="inlineStr">
        <is>
          <t>VÄSTMANLANDS LÄN</t>
        </is>
      </c>
      <c r="G130" t="inlineStr">
        <is>
          <t>NORBERG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46301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46301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46301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46301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27716-2026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46190</v>
      </c>
      <c r="E135" s="1" t="n">
        <v>46301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46301</v>
      </c>
      <c r="F136" t="inlineStr">
        <is>
          <t>VÄSTMANLANDS LÄN</t>
        </is>
      </c>
      <c r="G136" t="inlineStr">
        <is>
          <t>NORBERG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46301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46301</v>
      </c>
      <c r="F138" t="inlineStr">
        <is>
          <t>VÄSTMANLANDS LÄN</t>
        </is>
      </c>
      <c r="G138" t="inlineStr">
        <is>
          <t>NORBERG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46301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46301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45631</v>
      </c>
      <c r="E141" s="1" t="n">
        <v>46301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63505-2023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45274</v>
      </c>
      <c r="E142" s="1" t="n">
        <v>46301</v>
      </c>
      <c r="F142" t="inlineStr">
        <is>
          <t>VÄSTMANLANDS LÄN</t>
        </is>
      </c>
      <c r="G142" t="inlineStr">
        <is>
          <t>NORBERG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46301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46301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46301</v>
      </c>
      <c r="F145" t="inlineStr">
        <is>
          <t>VÄSTMANLANDS LÄN</t>
        </is>
      </c>
      <c r="G145" t="inlineStr">
        <is>
          <t>NORBERG</t>
        </is>
      </c>
      <c r="I145" t="n">
        <v>22.4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46301</v>
      </c>
      <c r="F146" t="inlineStr">
        <is>
          <t>VÄSTMANLANDS LÄN</t>
        </is>
      </c>
      <c r="G146" t="inlineStr">
        <is>
          <t>NORBERG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45200</v>
      </c>
      <c r="E147" s="1" t="n">
        <v>46301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46265</v>
      </c>
      <c r="E148" s="1" t="n">
        <v>46301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46223</v>
      </c>
      <c r="E149" s="1" t="n">
        <v>46301</v>
      </c>
      <c r="F149" t="inlineStr">
        <is>
          <t>VÄSTMANLANDS LÄN</t>
        </is>
      </c>
      <c r="G149" t="inlineStr">
        <is>
          <t>NORBERG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46301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46301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46301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46301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46301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46301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46301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46232</v>
      </c>
      <c r="E157" s="1" t="n">
        <v>46301</v>
      </c>
      <c r="F157" t="inlineStr">
        <is>
          <t>VÄSTMANLANDS LÄN</t>
        </is>
      </c>
      <c r="G157" t="inlineStr">
        <is>
          <t>NORBERG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45056</v>
      </c>
      <c r="E158" s="1" t="n">
        <v>46301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46233</v>
      </c>
      <c r="E159" s="1" t="n">
        <v>46301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46301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46301</v>
      </c>
      <c r="F161" t="inlineStr">
        <is>
          <t>VÄSTMANLANDS LÄN</t>
        </is>
      </c>
      <c r="G161" t="inlineStr">
        <is>
          <t>NORBERG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32385-2026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46238</v>
      </c>
      <c r="E162" s="1" t="n">
        <v>46301</v>
      </c>
      <c r="F162" t="inlineStr">
        <is>
          <t>VÄSTMANLANDS LÄN</t>
        </is>
      </c>
      <c r="G162" t="inlineStr">
        <is>
          <t>NORBERG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44727</v>
      </c>
      <c r="E163" s="1" t="n">
        <v>46301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46301</v>
      </c>
      <c r="F164" t="inlineStr">
        <is>
          <t>VÄSTMANLANDS LÄN</t>
        </is>
      </c>
      <c r="G164" t="inlineStr">
        <is>
          <t>NORBERG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45179</v>
      </c>
      <c r="E165" s="1" t="n">
        <v>46301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46301</v>
      </c>
      <c r="F166" t="inlineStr">
        <is>
          <t>VÄSTMANLANDS LÄN</t>
        </is>
      </c>
      <c r="G166" t="inlineStr">
        <is>
          <t>NORBERG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45607</v>
      </c>
      <c r="E167" s="1" t="n">
        <v>46301</v>
      </c>
      <c r="F167" t="inlineStr">
        <is>
          <t>VÄSTMANLANDS LÄN</t>
        </is>
      </c>
      <c r="G167" t="inlineStr">
        <is>
          <t>NORBERG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45769</v>
      </c>
      <c r="E168" s="1" t="n">
        <v>46301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46301</v>
      </c>
      <c r="F169" t="inlineStr">
        <is>
          <t>VÄSTMANLANDS LÄN</t>
        </is>
      </c>
      <c r="G169" t="inlineStr">
        <is>
          <t>NORBERG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46266</v>
      </c>
      <c r="E170" s="1" t="n">
        <v>46301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46247</v>
      </c>
      <c r="E171" s="1" t="n">
        <v>46301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46301</v>
      </c>
      <c r="F172" t="inlineStr">
        <is>
          <t>VÄSTMANLANDS LÄN</t>
        </is>
      </c>
      <c r="G172" t="inlineStr">
        <is>
          <t>NORBERG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46301</v>
      </c>
      <c r="F173" t="inlineStr">
        <is>
          <t>VÄSTMANLANDS LÄN</t>
        </is>
      </c>
      <c r="G173" t="inlineStr">
        <is>
          <t>NORBERG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46301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44691</v>
      </c>
      <c r="E175" s="1" t="n">
        <v>46301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46301</v>
      </c>
      <c r="F176" t="inlineStr">
        <is>
          <t>VÄSTMANLANDS LÄN</t>
        </is>
      </c>
      <c r="G176" t="inlineStr">
        <is>
          <t>NORBERG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45597</v>
      </c>
      <c r="E177" s="1" t="n">
        <v>46301</v>
      </c>
      <c r="F177" t="inlineStr">
        <is>
          <t>VÄSTMANLANDS LÄN</t>
        </is>
      </c>
      <c r="G177" t="inlineStr">
        <is>
          <t>NORBERG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46301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46301</v>
      </c>
      <c r="F179" t="inlineStr">
        <is>
          <t>VÄSTMANLANDS LÄN</t>
        </is>
      </c>
      <c r="G179" t="inlineStr">
        <is>
          <t>NORBERG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46253</v>
      </c>
      <c r="E180" s="1" t="n">
        <v>46301</v>
      </c>
      <c r="F180" t="inlineStr">
        <is>
          <t>VÄSTMANLANDS LÄN</t>
        </is>
      </c>
      <c r="G180" t="inlineStr">
        <is>
          <t>NORBERG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46301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46301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46301</v>
      </c>
      <c r="F183" t="inlineStr">
        <is>
          <t>VÄSTMANLANDS LÄN</t>
        </is>
      </c>
      <c r="G183" t="inlineStr">
        <is>
          <t>NORBERG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46301</v>
      </c>
      <c r="F184" t="inlineStr">
        <is>
          <t>VÄSTMANLANDS LÄN</t>
        </is>
      </c>
      <c r="G184" t="inlineStr">
        <is>
          <t>NORBERG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46301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46301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46301</v>
      </c>
      <c r="F187" t="inlineStr">
        <is>
          <t>VÄSTMANLANDS LÄN</t>
        </is>
      </c>
      <c r="G187" t="inlineStr">
        <is>
          <t>NORBERG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46301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46301</v>
      </c>
      <c r="F189" t="inlineStr">
        <is>
          <t>VÄSTMANLANDS LÄN</t>
        </is>
      </c>
      <c r="G189" t="inlineStr">
        <is>
          <t>NORBERG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46301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46301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46301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46301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2026-10-06T01:54:11Z</dcterms:created>
  <dcterms:modified xmlns:dcterms="http://purl.org/dc/terms/" xmlns:xsi="http://www.w3.org/2001/XMLSchema-instance" xsi:type="dcterms:W3CDTF">2026-10-06T01:54:11Z</dcterms:modified>
</cp:coreProperties>
</file>