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1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63049-2019</t>
        </is>
      </c>
      <c r="B2" s="1" t="n">
        <v>43791</v>
      </c>
      <c r="C2" s="1" t="n">
        <v>45762</v>
      </c>
      <c r="D2" t="inlineStr">
        <is>
          <t>VÄSTMANLANDS LÄN</t>
        </is>
      </c>
      <c r="E2" t="inlineStr">
        <is>
          <t>NORBERG</t>
        </is>
      </c>
      <c r="F2" t="inlineStr">
        <is>
          <t>Bergvik skog väst AB</t>
        </is>
      </c>
      <c r="G2" t="n">
        <v>28.9</v>
      </c>
      <c r="H2" t="n">
        <v>4</v>
      </c>
      <c r="I2" t="n">
        <v>9</v>
      </c>
      <c r="J2" t="n">
        <v>7</v>
      </c>
      <c r="K2" t="n">
        <v>2</v>
      </c>
      <c r="L2" t="n">
        <v>0</v>
      </c>
      <c r="M2" t="n">
        <v>0</v>
      </c>
      <c r="N2" t="n">
        <v>0</v>
      </c>
      <c r="O2" t="n">
        <v>9</v>
      </c>
      <c r="P2" t="n">
        <v>2</v>
      </c>
      <c r="Q2" t="n">
        <v>19</v>
      </c>
      <c r="R2" s="2" t="inlineStr">
        <is>
          <t>Knärot
Rynkskinn
Garnlav
Orange taggsvamp
Spillkråka
Svart taggsvamp
Tallticka
Ullticka
Vedtrappmossa
Blomkålssvamp
Bronshjon
Dropptaggsvamp
Flagellkvastmossa
Korallrot
Rostfläck
Skarp dropptaggsvamp
Vedticka
Zontaggsvamp
Fläcknycklar</t>
        </is>
      </c>
      <c r="S2">
        <f>HYPERLINK("https://klasma.github.io/Logging_1962/artfynd/A 63049-2019 artfynd.xlsx", "A 63049-2019")</f>
        <v/>
      </c>
      <c r="T2">
        <f>HYPERLINK("https://klasma.github.io/Logging_1962/kartor/A 63049-2019 karta.png", "A 63049-2019")</f>
        <v/>
      </c>
      <c r="U2">
        <f>HYPERLINK("https://klasma.github.io/Logging_1962/knärot/A 63049-2019 karta knärot.png", "A 63049-2019")</f>
        <v/>
      </c>
      <c r="V2">
        <f>HYPERLINK("https://klasma.github.io/Logging_1962/klagomål/A 63049-2019 FSC-klagomål.docx", "A 63049-2019")</f>
        <v/>
      </c>
      <c r="W2">
        <f>HYPERLINK("https://klasma.github.io/Logging_1962/klagomålsmail/A 63049-2019 FSC-klagomål mail.docx", "A 63049-2019")</f>
        <v/>
      </c>
      <c r="X2">
        <f>HYPERLINK("https://klasma.github.io/Logging_1962/tillsyn/A 63049-2019 tillsynsbegäran.docx", "A 63049-2019")</f>
        <v/>
      </c>
      <c r="Y2">
        <f>HYPERLINK("https://klasma.github.io/Logging_1962/tillsynsmail/A 63049-2019 tillsynsbegäran mail.docx", "A 63049-2019")</f>
        <v/>
      </c>
      <c r="Z2">
        <f>HYPERLINK("https://klasma.github.io/Logging_1962/fåglar/A 63049-2019 prioriterade fågelarter.docx", "A 63049-2019")</f>
        <v/>
      </c>
    </row>
    <row r="3" ht="15" customHeight="1">
      <c r="A3" t="inlineStr">
        <is>
          <t>A 10782-2020</t>
        </is>
      </c>
      <c r="B3" s="1" t="n">
        <v>43888</v>
      </c>
      <c r="C3" s="1" t="n">
        <v>45762</v>
      </c>
      <c r="D3" t="inlineStr">
        <is>
          <t>VÄSTMANLANDS LÄN</t>
        </is>
      </c>
      <c r="E3" t="inlineStr">
        <is>
          <t>NORBERG</t>
        </is>
      </c>
      <c r="F3" t="inlineStr">
        <is>
          <t>Bergvik skog väst AB</t>
        </is>
      </c>
      <c r="G3" t="n">
        <v>31</v>
      </c>
      <c r="H3" t="n">
        <v>4</v>
      </c>
      <c r="I3" t="n">
        <v>10</v>
      </c>
      <c r="J3" t="n">
        <v>5</v>
      </c>
      <c r="K3" t="n">
        <v>1</v>
      </c>
      <c r="L3" t="n">
        <v>0</v>
      </c>
      <c r="M3" t="n">
        <v>0</v>
      </c>
      <c r="N3" t="n">
        <v>0</v>
      </c>
      <c r="O3" t="n">
        <v>6</v>
      </c>
      <c r="P3" t="n">
        <v>1</v>
      </c>
      <c r="Q3" t="n">
        <v>17</v>
      </c>
      <c r="R3" s="2" t="inlineStr">
        <is>
          <t>Knärot
Garnlav
Motaggsvamp
Tallticka
Ullticka
Vedtrappmossa
Blomkålssvamp
Bollvitmossa
Dropptaggsvamp
Grön sköldmossa
Grönpyrola
Kambräken
Plattlummer
Rödgul trumpetsvamp
Skarp dropptaggsvamp
Vedticka
Blåsippa</t>
        </is>
      </c>
      <c r="S3">
        <f>HYPERLINK("https://klasma.github.io/Logging_1962/artfynd/A 10782-2020 artfynd.xlsx", "A 10782-2020")</f>
        <v/>
      </c>
      <c r="T3">
        <f>HYPERLINK("https://klasma.github.io/Logging_1962/kartor/A 10782-2020 karta.png", "A 10782-2020")</f>
        <v/>
      </c>
      <c r="U3">
        <f>HYPERLINK("https://klasma.github.io/Logging_1962/knärot/A 10782-2020 karta knärot.png", "A 10782-2020")</f>
        <v/>
      </c>
      <c r="V3">
        <f>HYPERLINK("https://klasma.github.io/Logging_1962/klagomål/A 10782-2020 FSC-klagomål.docx", "A 10782-2020")</f>
        <v/>
      </c>
      <c r="W3">
        <f>HYPERLINK("https://klasma.github.io/Logging_1962/klagomålsmail/A 10782-2020 FSC-klagomål mail.docx", "A 10782-2020")</f>
        <v/>
      </c>
      <c r="X3">
        <f>HYPERLINK("https://klasma.github.io/Logging_1962/tillsyn/A 10782-2020 tillsynsbegäran.docx", "A 10782-2020")</f>
        <v/>
      </c>
      <c r="Y3">
        <f>HYPERLINK("https://klasma.github.io/Logging_1962/tillsynsmail/A 10782-2020 tillsynsbegäran mail.docx", "A 10782-2020")</f>
        <v/>
      </c>
    </row>
    <row r="4" ht="15" customHeight="1">
      <c r="A4" t="inlineStr">
        <is>
          <t>A 42686-2024</t>
        </is>
      </c>
      <c r="B4" s="1" t="n">
        <v>45566</v>
      </c>
      <c r="C4" s="1" t="n">
        <v>45762</v>
      </c>
      <c r="D4" t="inlineStr">
        <is>
          <t>VÄSTMANLANDS LÄN</t>
        </is>
      </c>
      <c r="E4" t="inlineStr">
        <is>
          <t>NORBERG</t>
        </is>
      </c>
      <c r="G4" t="n">
        <v>7</v>
      </c>
      <c r="H4" t="n">
        <v>1</v>
      </c>
      <c r="I4" t="n">
        <v>3</v>
      </c>
      <c r="J4" t="n">
        <v>2</v>
      </c>
      <c r="K4" t="n">
        <v>1</v>
      </c>
      <c r="L4" t="n">
        <v>0</v>
      </c>
      <c r="M4" t="n">
        <v>0</v>
      </c>
      <c r="N4" t="n">
        <v>0</v>
      </c>
      <c r="O4" t="n">
        <v>3</v>
      </c>
      <c r="P4" t="n">
        <v>1</v>
      </c>
      <c r="Q4" t="n">
        <v>6</v>
      </c>
      <c r="R4" s="2" t="inlineStr">
        <is>
          <t>Knärot
Tallticka
Ullticka
Bollvitmossa
Skinnlav
Vedticka</t>
        </is>
      </c>
      <c r="S4">
        <f>HYPERLINK("https://klasma.github.io/Logging_1962/artfynd/A 42686-2024 artfynd.xlsx", "A 42686-2024")</f>
        <v/>
      </c>
      <c r="T4">
        <f>HYPERLINK("https://klasma.github.io/Logging_1962/kartor/A 42686-2024 karta.png", "A 42686-2024")</f>
        <v/>
      </c>
      <c r="U4">
        <f>HYPERLINK("https://klasma.github.io/Logging_1962/knärot/A 42686-2024 karta knärot.png", "A 42686-2024")</f>
        <v/>
      </c>
      <c r="V4">
        <f>HYPERLINK("https://klasma.github.io/Logging_1962/klagomål/A 42686-2024 FSC-klagomål.docx", "A 42686-2024")</f>
        <v/>
      </c>
      <c r="W4">
        <f>HYPERLINK("https://klasma.github.io/Logging_1962/klagomålsmail/A 42686-2024 FSC-klagomål mail.docx", "A 42686-2024")</f>
        <v/>
      </c>
      <c r="X4">
        <f>HYPERLINK("https://klasma.github.io/Logging_1962/tillsyn/A 42686-2024 tillsynsbegäran.docx", "A 42686-2024")</f>
        <v/>
      </c>
      <c r="Y4">
        <f>HYPERLINK("https://klasma.github.io/Logging_1962/tillsynsmail/A 42686-2024 tillsynsbegäran mail.docx", "A 42686-2024")</f>
        <v/>
      </c>
    </row>
    <row r="5" ht="15" customHeight="1">
      <c r="A5" t="inlineStr">
        <is>
          <t>A 7193-2020</t>
        </is>
      </c>
      <c r="B5" s="1" t="n">
        <v>43868</v>
      </c>
      <c r="C5" s="1" t="n">
        <v>45762</v>
      </c>
      <c r="D5" t="inlineStr">
        <is>
          <t>VÄSTMANLANDS LÄN</t>
        </is>
      </c>
      <c r="E5" t="inlineStr">
        <is>
          <t>NORBERG</t>
        </is>
      </c>
      <c r="G5" t="n">
        <v>14.6</v>
      </c>
      <c r="H5" t="n">
        <v>1</v>
      </c>
      <c r="I5" t="n">
        <v>3</v>
      </c>
      <c r="J5" t="n">
        <v>1</v>
      </c>
      <c r="K5" t="n">
        <v>1</v>
      </c>
      <c r="L5" t="n">
        <v>0</v>
      </c>
      <c r="M5" t="n">
        <v>0</v>
      </c>
      <c r="N5" t="n">
        <v>0</v>
      </c>
      <c r="O5" t="n">
        <v>2</v>
      </c>
      <c r="P5" t="n">
        <v>1</v>
      </c>
      <c r="Q5" t="n">
        <v>5</v>
      </c>
      <c r="R5" s="2" t="inlineStr">
        <is>
          <t>Knärot
Ullticka
Grönpyrola
Rävticka
Vedticka</t>
        </is>
      </c>
      <c r="S5">
        <f>HYPERLINK("https://klasma.github.io/Logging_1962/artfynd/A 7193-2020 artfynd.xlsx", "A 7193-2020")</f>
        <v/>
      </c>
      <c r="T5">
        <f>HYPERLINK("https://klasma.github.io/Logging_1962/kartor/A 7193-2020 karta.png", "A 7193-2020")</f>
        <v/>
      </c>
      <c r="U5">
        <f>HYPERLINK("https://klasma.github.io/Logging_1962/knärot/A 7193-2020 karta knärot.png", "A 7193-2020")</f>
        <v/>
      </c>
      <c r="V5">
        <f>HYPERLINK("https://klasma.github.io/Logging_1962/klagomål/A 7193-2020 FSC-klagomål.docx", "A 7193-2020")</f>
        <v/>
      </c>
      <c r="W5">
        <f>HYPERLINK("https://klasma.github.io/Logging_1962/klagomålsmail/A 7193-2020 FSC-klagomål mail.docx", "A 7193-2020")</f>
        <v/>
      </c>
      <c r="X5">
        <f>HYPERLINK("https://klasma.github.io/Logging_1962/tillsyn/A 7193-2020 tillsynsbegäran.docx", "A 7193-2020")</f>
        <v/>
      </c>
      <c r="Y5">
        <f>HYPERLINK("https://klasma.github.io/Logging_1962/tillsynsmail/A 7193-2020 tillsynsbegäran mail.docx", "A 7193-2020")</f>
        <v/>
      </c>
    </row>
    <row r="6" ht="15" customHeight="1">
      <c r="A6" t="inlineStr">
        <is>
          <t>A 14622-2023</t>
        </is>
      </c>
      <c r="B6" s="1" t="n">
        <v>45013</v>
      </c>
      <c r="C6" s="1" t="n">
        <v>45762</v>
      </c>
      <c r="D6" t="inlineStr">
        <is>
          <t>VÄSTMANLANDS LÄN</t>
        </is>
      </c>
      <c r="E6" t="inlineStr">
        <is>
          <t>NORBERG</t>
        </is>
      </c>
      <c r="G6" t="n">
        <v>2.2</v>
      </c>
      <c r="H6" t="n">
        <v>2</v>
      </c>
      <c r="I6" t="n">
        <v>2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5</v>
      </c>
      <c r="R6" s="2" t="inlineStr">
        <is>
          <t>Mindre hackspett
Ullticka
Blomkålssvamp
Mindre märgborre
Blåsippa</t>
        </is>
      </c>
      <c r="S6">
        <f>HYPERLINK("https://klasma.github.io/Logging_1962/artfynd/A 14622-2023 artfynd.xlsx", "A 14622-2023")</f>
        <v/>
      </c>
      <c r="T6">
        <f>HYPERLINK("https://klasma.github.io/Logging_1962/kartor/A 14622-2023 karta.png", "A 14622-2023")</f>
        <v/>
      </c>
      <c r="V6">
        <f>HYPERLINK("https://klasma.github.io/Logging_1962/klagomål/A 14622-2023 FSC-klagomål.docx", "A 14622-2023")</f>
        <v/>
      </c>
      <c r="W6">
        <f>HYPERLINK("https://klasma.github.io/Logging_1962/klagomålsmail/A 14622-2023 FSC-klagomål mail.docx", "A 14622-2023")</f>
        <v/>
      </c>
      <c r="X6">
        <f>HYPERLINK("https://klasma.github.io/Logging_1962/tillsyn/A 14622-2023 tillsynsbegäran.docx", "A 14622-2023")</f>
        <v/>
      </c>
      <c r="Y6">
        <f>HYPERLINK("https://klasma.github.io/Logging_1962/tillsynsmail/A 14622-2023 tillsynsbegäran mail.docx", "A 14622-2023")</f>
        <v/>
      </c>
      <c r="Z6">
        <f>HYPERLINK("https://klasma.github.io/Logging_1962/fåglar/A 14622-2023 prioriterade fågelarter.docx", "A 14622-2023")</f>
        <v/>
      </c>
    </row>
    <row r="7" ht="15" customHeight="1">
      <c r="A7" t="inlineStr">
        <is>
          <t>A 39253-2024</t>
        </is>
      </c>
      <c r="B7" s="1" t="n">
        <v>45551</v>
      </c>
      <c r="C7" s="1" t="n">
        <v>45762</v>
      </c>
      <c r="D7" t="inlineStr">
        <is>
          <t>VÄSTMANLANDS LÄN</t>
        </is>
      </c>
      <c r="E7" t="inlineStr">
        <is>
          <t>NORBERG</t>
        </is>
      </c>
      <c r="F7" t="inlineStr">
        <is>
          <t>Bergvik skog väst AB</t>
        </is>
      </c>
      <c r="G7" t="n">
        <v>3</v>
      </c>
      <c r="H7" t="n">
        <v>1</v>
      </c>
      <c r="I7" t="n">
        <v>0</v>
      </c>
      <c r="J7" t="n">
        <v>3</v>
      </c>
      <c r="K7" t="n">
        <v>1</v>
      </c>
      <c r="L7" t="n">
        <v>0</v>
      </c>
      <c r="M7" t="n">
        <v>0</v>
      </c>
      <c r="N7" t="n">
        <v>0</v>
      </c>
      <c r="O7" t="n">
        <v>4</v>
      </c>
      <c r="P7" t="n">
        <v>1</v>
      </c>
      <c r="Q7" t="n">
        <v>4</v>
      </c>
      <c r="R7" s="2" t="inlineStr">
        <is>
          <t>Knärot
Kandelabersvamp
Kådvaxskinn
Ullticka</t>
        </is>
      </c>
      <c r="S7">
        <f>HYPERLINK("https://klasma.github.io/Logging_1962/artfynd/A 39253-2024 artfynd.xlsx", "A 39253-2024")</f>
        <v/>
      </c>
      <c r="T7">
        <f>HYPERLINK("https://klasma.github.io/Logging_1962/kartor/A 39253-2024 karta.png", "A 39253-2024")</f>
        <v/>
      </c>
      <c r="U7">
        <f>HYPERLINK("https://klasma.github.io/Logging_1962/knärot/A 39253-2024 karta knärot.png", "A 39253-2024")</f>
        <v/>
      </c>
      <c r="V7">
        <f>HYPERLINK("https://klasma.github.io/Logging_1962/klagomål/A 39253-2024 FSC-klagomål.docx", "A 39253-2024")</f>
        <v/>
      </c>
      <c r="W7">
        <f>HYPERLINK("https://klasma.github.io/Logging_1962/klagomålsmail/A 39253-2024 FSC-klagomål mail.docx", "A 39253-2024")</f>
        <v/>
      </c>
      <c r="X7">
        <f>HYPERLINK("https://klasma.github.io/Logging_1962/tillsyn/A 39253-2024 tillsynsbegäran.docx", "A 39253-2024")</f>
        <v/>
      </c>
      <c r="Y7">
        <f>HYPERLINK("https://klasma.github.io/Logging_1962/tillsynsmail/A 39253-2024 tillsynsbegäran mail.docx", "A 39253-2024")</f>
        <v/>
      </c>
    </row>
    <row r="8" ht="15" customHeight="1">
      <c r="A8" t="inlineStr">
        <is>
          <t>A 25843-2021</t>
        </is>
      </c>
      <c r="B8" s="1" t="n">
        <v>44343</v>
      </c>
      <c r="C8" s="1" t="n">
        <v>45762</v>
      </c>
      <c r="D8" t="inlineStr">
        <is>
          <t>VÄSTMANLANDS LÄN</t>
        </is>
      </c>
      <c r="E8" t="inlineStr">
        <is>
          <t>NORBERG</t>
        </is>
      </c>
      <c r="G8" t="n">
        <v>2.2</v>
      </c>
      <c r="H8" t="n">
        <v>1</v>
      </c>
      <c r="I8" t="n">
        <v>2</v>
      </c>
      <c r="J8" t="n">
        <v>0</v>
      </c>
      <c r="K8" t="n">
        <v>1</v>
      </c>
      <c r="L8" t="n">
        <v>0</v>
      </c>
      <c r="M8" t="n">
        <v>0</v>
      </c>
      <c r="N8" t="n">
        <v>0</v>
      </c>
      <c r="O8" t="n">
        <v>1</v>
      </c>
      <c r="P8" t="n">
        <v>1</v>
      </c>
      <c r="Q8" t="n">
        <v>3</v>
      </c>
      <c r="R8" s="2" t="inlineStr">
        <is>
          <t>Knärot
Bårdlav
Grönpyrola</t>
        </is>
      </c>
      <c r="S8">
        <f>HYPERLINK("https://klasma.github.io/Logging_1962/artfynd/A 25843-2021 artfynd.xlsx", "A 25843-2021")</f>
        <v/>
      </c>
      <c r="T8">
        <f>HYPERLINK("https://klasma.github.io/Logging_1962/kartor/A 25843-2021 karta.png", "A 25843-2021")</f>
        <v/>
      </c>
      <c r="U8">
        <f>HYPERLINK("https://klasma.github.io/Logging_1962/knärot/A 25843-2021 karta knärot.png", "A 25843-2021")</f>
        <v/>
      </c>
      <c r="V8">
        <f>HYPERLINK("https://klasma.github.io/Logging_1962/klagomål/A 25843-2021 FSC-klagomål.docx", "A 25843-2021")</f>
        <v/>
      </c>
      <c r="W8">
        <f>HYPERLINK("https://klasma.github.io/Logging_1962/klagomålsmail/A 25843-2021 FSC-klagomål mail.docx", "A 25843-2021")</f>
        <v/>
      </c>
      <c r="X8">
        <f>HYPERLINK("https://klasma.github.io/Logging_1962/tillsyn/A 25843-2021 tillsynsbegäran.docx", "A 25843-2021")</f>
        <v/>
      </c>
      <c r="Y8">
        <f>HYPERLINK("https://klasma.github.io/Logging_1962/tillsynsmail/A 25843-2021 tillsynsbegäran mail.docx", "A 25843-2021")</f>
        <v/>
      </c>
    </row>
    <row r="9" ht="15" customHeight="1">
      <c r="A9" t="inlineStr">
        <is>
          <t>A 17053-2023</t>
        </is>
      </c>
      <c r="B9" s="1" t="n">
        <v>45034</v>
      </c>
      <c r="C9" s="1" t="n">
        <v>45762</v>
      </c>
      <c r="D9" t="inlineStr">
        <is>
          <t>VÄSTMANLANDS LÄN</t>
        </is>
      </c>
      <c r="E9" t="inlineStr">
        <is>
          <t>NORBERG</t>
        </is>
      </c>
      <c r="F9" t="inlineStr">
        <is>
          <t>Övriga Aktiebolag</t>
        </is>
      </c>
      <c r="G9" t="n">
        <v>16.8</v>
      </c>
      <c r="H9" t="n">
        <v>0</v>
      </c>
      <c r="I9" t="n">
        <v>1</v>
      </c>
      <c r="J9" t="n">
        <v>2</v>
      </c>
      <c r="K9" t="n">
        <v>0</v>
      </c>
      <c r="L9" t="n">
        <v>0</v>
      </c>
      <c r="M9" t="n">
        <v>0</v>
      </c>
      <c r="N9" t="n">
        <v>0</v>
      </c>
      <c r="O9" t="n">
        <v>2</v>
      </c>
      <c r="P9" t="n">
        <v>0</v>
      </c>
      <c r="Q9" t="n">
        <v>3</v>
      </c>
      <c r="R9" s="2" t="inlineStr">
        <is>
          <t>Dofttaggsvamp
Motaggsvamp
Rödgul trumpetsvamp</t>
        </is>
      </c>
      <c r="S9">
        <f>HYPERLINK("https://klasma.github.io/Logging_1962/artfynd/A 17053-2023 artfynd.xlsx", "A 17053-2023")</f>
        <v/>
      </c>
      <c r="T9">
        <f>HYPERLINK("https://klasma.github.io/Logging_1962/kartor/A 17053-2023 karta.png", "A 17053-2023")</f>
        <v/>
      </c>
      <c r="V9">
        <f>HYPERLINK("https://klasma.github.io/Logging_1962/klagomål/A 17053-2023 FSC-klagomål.docx", "A 17053-2023")</f>
        <v/>
      </c>
      <c r="W9">
        <f>HYPERLINK("https://klasma.github.io/Logging_1962/klagomålsmail/A 17053-2023 FSC-klagomål mail.docx", "A 17053-2023")</f>
        <v/>
      </c>
      <c r="X9">
        <f>HYPERLINK("https://klasma.github.io/Logging_1962/tillsyn/A 17053-2023 tillsynsbegäran.docx", "A 17053-2023")</f>
        <v/>
      </c>
      <c r="Y9">
        <f>HYPERLINK("https://klasma.github.io/Logging_1962/tillsynsmail/A 17053-2023 tillsynsbegäran mail.docx", "A 17053-2023")</f>
        <v/>
      </c>
    </row>
    <row r="10" ht="15" customHeight="1">
      <c r="A10" t="inlineStr">
        <is>
          <t>A 62471-2023</t>
        </is>
      </c>
      <c r="B10" s="1" t="n">
        <v>45268</v>
      </c>
      <c r="C10" s="1" t="n">
        <v>45762</v>
      </c>
      <c r="D10" t="inlineStr">
        <is>
          <t>VÄSTMANLANDS LÄN</t>
        </is>
      </c>
      <c r="E10" t="inlineStr">
        <is>
          <t>NORBERG</t>
        </is>
      </c>
      <c r="G10" t="n">
        <v>5.3</v>
      </c>
      <c r="H10" t="n">
        <v>0</v>
      </c>
      <c r="I10" t="n">
        <v>2</v>
      </c>
      <c r="J10" t="n">
        <v>1</v>
      </c>
      <c r="K10" t="n">
        <v>0</v>
      </c>
      <c r="L10" t="n">
        <v>0</v>
      </c>
      <c r="M10" t="n">
        <v>0</v>
      </c>
      <c r="N10" t="n">
        <v>0</v>
      </c>
      <c r="O10" t="n">
        <v>1</v>
      </c>
      <c r="P10" t="n">
        <v>0</v>
      </c>
      <c r="Q10" t="n">
        <v>3</v>
      </c>
      <c r="R10" s="2" t="inlineStr">
        <is>
          <t>Orange taggsvamp
Kryddspindling
Zontaggsvamp</t>
        </is>
      </c>
      <c r="S10">
        <f>HYPERLINK("https://klasma.github.io/Logging_1962/artfynd/A 62471-2023 artfynd.xlsx", "A 62471-2023")</f>
        <v/>
      </c>
      <c r="T10">
        <f>HYPERLINK("https://klasma.github.io/Logging_1962/kartor/A 62471-2023 karta.png", "A 62471-2023")</f>
        <v/>
      </c>
      <c r="V10">
        <f>HYPERLINK("https://klasma.github.io/Logging_1962/klagomål/A 62471-2023 FSC-klagomål.docx", "A 62471-2023")</f>
        <v/>
      </c>
      <c r="W10">
        <f>HYPERLINK("https://klasma.github.io/Logging_1962/klagomålsmail/A 62471-2023 FSC-klagomål mail.docx", "A 62471-2023")</f>
        <v/>
      </c>
      <c r="X10">
        <f>HYPERLINK("https://klasma.github.io/Logging_1962/tillsyn/A 62471-2023 tillsynsbegäran.docx", "A 62471-2023")</f>
        <v/>
      </c>
      <c r="Y10">
        <f>HYPERLINK("https://klasma.github.io/Logging_1962/tillsynsmail/A 62471-2023 tillsynsbegäran mail.docx", "A 62471-2023")</f>
        <v/>
      </c>
    </row>
    <row r="11" ht="15" customHeight="1">
      <c r="A11" t="inlineStr">
        <is>
          <t>A 9811-2025</t>
        </is>
      </c>
      <c r="B11" s="1" t="n">
        <v>45716</v>
      </c>
      <c r="C11" s="1" t="n">
        <v>45762</v>
      </c>
      <c r="D11" t="inlineStr">
        <is>
          <t>VÄSTMANLANDS LÄN</t>
        </is>
      </c>
      <c r="E11" t="inlineStr">
        <is>
          <t>NORBERG</t>
        </is>
      </c>
      <c r="F11" t="inlineStr">
        <is>
          <t>Sveaskog</t>
        </is>
      </c>
      <c r="G11" t="n">
        <v>13.7</v>
      </c>
      <c r="H11" t="n">
        <v>1</v>
      </c>
      <c r="I11" t="n">
        <v>2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3</v>
      </c>
      <c r="R11" s="2" t="inlineStr">
        <is>
          <t>Slåtterfibbla
Grönkulla
Tibast</t>
        </is>
      </c>
      <c r="S11">
        <f>HYPERLINK("https://klasma.github.io/Logging_191962/artfynd/A 9811-2025 artfynd.xlsx", "A 9811-2025")</f>
        <v/>
      </c>
      <c r="T11">
        <f>HYPERLINK("https://klasma.github.io/Logging_191962/kartor/A 9811-2025 karta.png", "A 9811-2025")</f>
        <v/>
      </c>
      <c r="V11">
        <f>HYPERLINK("https://klasma.github.io/Logging_191962/klagomål/A 9811-2025 FSC-klagomål.docx", "A 9811-2025")</f>
        <v/>
      </c>
      <c r="W11">
        <f>HYPERLINK("https://klasma.github.io/Logging_191962/klagomålsmail/A 9811-2025 FSC-klagomål mail.docx", "A 9811-2025")</f>
        <v/>
      </c>
      <c r="X11">
        <f>HYPERLINK("https://klasma.github.io/Logging_191962/tillsyn/A 9811-2025 tillsynsbegäran.docx", "A 9811-2025")</f>
        <v/>
      </c>
      <c r="Y11">
        <f>HYPERLINK("https://klasma.github.io/Logging_191962/tillsynsmail/A 9811-2025 tillsynsbegäran mail.docx", "A 9811-2025")</f>
        <v/>
      </c>
    </row>
    <row r="12" ht="15" customHeight="1">
      <c r="A12" t="inlineStr">
        <is>
          <t>A 66086-2019</t>
        </is>
      </c>
      <c r="B12" s="1" t="n">
        <v>43807</v>
      </c>
      <c r="C12" s="1" t="n">
        <v>45762</v>
      </c>
      <c r="D12" t="inlineStr">
        <is>
          <t>VÄSTMANLANDS LÄN</t>
        </is>
      </c>
      <c r="E12" t="inlineStr">
        <is>
          <t>NORBERG</t>
        </is>
      </c>
      <c r="G12" t="n">
        <v>16</v>
      </c>
      <c r="H12" t="n">
        <v>1</v>
      </c>
      <c r="I12" t="n">
        <v>1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2</v>
      </c>
      <c r="R12" s="2" t="inlineStr">
        <is>
          <t>Knärot
Kambräken</t>
        </is>
      </c>
      <c r="S12">
        <f>HYPERLINK("https://klasma.github.io/Logging_1962/artfynd/A 66086-2019 artfynd.xlsx", "A 66086-2019")</f>
        <v/>
      </c>
      <c r="T12">
        <f>HYPERLINK("https://klasma.github.io/Logging_1962/kartor/A 66086-2019 karta.png", "A 66086-2019")</f>
        <v/>
      </c>
      <c r="U12">
        <f>HYPERLINK("https://klasma.github.io/Logging_1962/knärot/A 66086-2019 karta knärot.png", "A 66086-2019")</f>
        <v/>
      </c>
      <c r="V12">
        <f>HYPERLINK("https://klasma.github.io/Logging_1962/klagomål/A 66086-2019 FSC-klagomål.docx", "A 66086-2019")</f>
        <v/>
      </c>
      <c r="W12">
        <f>HYPERLINK("https://klasma.github.io/Logging_1962/klagomålsmail/A 66086-2019 FSC-klagomål mail.docx", "A 66086-2019")</f>
        <v/>
      </c>
      <c r="X12">
        <f>HYPERLINK("https://klasma.github.io/Logging_1962/tillsyn/A 66086-2019 tillsynsbegäran.docx", "A 66086-2019")</f>
        <v/>
      </c>
      <c r="Y12">
        <f>HYPERLINK("https://klasma.github.io/Logging_1962/tillsynsmail/A 66086-2019 tillsynsbegäran mail.docx", "A 66086-2019")</f>
        <v/>
      </c>
    </row>
    <row r="13" ht="15" customHeight="1">
      <c r="A13" t="inlineStr">
        <is>
          <t>A 2313-2021</t>
        </is>
      </c>
      <c r="B13" s="1" t="n">
        <v>44213</v>
      </c>
      <c r="C13" s="1" t="n">
        <v>45762</v>
      </c>
      <c r="D13" t="inlineStr">
        <is>
          <t>VÄSTMANLANDS LÄN</t>
        </is>
      </c>
      <c r="E13" t="inlineStr">
        <is>
          <t>NORBERG</t>
        </is>
      </c>
      <c r="F13" t="inlineStr">
        <is>
          <t>Sveaskog</t>
        </is>
      </c>
      <c r="G13" t="n">
        <v>3.3</v>
      </c>
      <c r="H13" t="n">
        <v>1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Sotnätfjäril
Tvåblad</t>
        </is>
      </c>
      <c r="S13">
        <f>HYPERLINK("https://klasma.github.io/Logging_1962/artfynd/A 2313-2021 artfynd.xlsx", "A 2313-2021")</f>
        <v/>
      </c>
      <c r="T13">
        <f>HYPERLINK("https://klasma.github.io/Logging_1962/kartor/A 2313-2021 karta.png", "A 2313-2021")</f>
        <v/>
      </c>
      <c r="V13">
        <f>HYPERLINK("https://klasma.github.io/Logging_1962/klagomål/A 2313-2021 FSC-klagomål.docx", "A 2313-2021")</f>
        <v/>
      </c>
      <c r="W13">
        <f>HYPERLINK("https://klasma.github.io/Logging_1962/klagomålsmail/A 2313-2021 FSC-klagomål mail.docx", "A 2313-2021")</f>
        <v/>
      </c>
      <c r="X13">
        <f>HYPERLINK("https://klasma.github.io/Logging_1962/tillsyn/A 2313-2021 tillsynsbegäran.docx", "A 2313-2021")</f>
        <v/>
      </c>
      <c r="Y13">
        <f>HYPERLINK("https://klasma.github.io/Logging_1962/tillsynsmail/A 2313-2021 tillsynsbegäran mail.docx", "A 2313-2021")</f>
        <v/>
      </c>
    </row>
    <row r="14" ht="15" customHeight="1">
      <c r="A14" t="inlineStr">
        <is>
          <t>A 17082-2023</t>
        </is>
      </c>
      <c r="B14" s="1" t="n">
        <v>45034</v>
      </c>
      <c r="C14" s="1" t="n">
        <v>45762</v>
      </c>
      <c r="D14" t="inlineStr">
        <is>
          <t>VÄSTMANLANDS LÄN</t>
        </is>
      </c>
      <c r="E14" t="inlineStr">
        <is>
          <t>NORBERG</t>
        </is>
      </c>
      <c r="F14" t="inlineStr">
        <is>
          <t>Övriga Aktiebolag</t>
        </is>
      </c>
      <c r="G14" t="n">
        <v>10.6</v>
      </c>
      <c r="H14" t="n">
        <v>1</v>
      </c>
      <c r="I14" t="n">
        <v>1</v>
      </c>
      <c r="J14" t="n">
        <v>0</v>
      </c>
      <c r="K14" t="n">
        <v>1</v>
      </c>
      <c r="L14" t="n">
        <v>0</v>
      </c>
      <c r="M14" t="n">
        <v>0</v>
      </c>
      <c r="N14" t="n">
        <v>0</v>
      </c>
      <c r="O14" t="n">
        <v>1</v>
      </c>
      <c r="P14" t="n">
        <v>1</v>
      </c>
      <c r="Q14" t="n">
        <v>2</v>
      </c>
      <c r="R14" s="2" t="inlineStr">
        <is>
          <t>Knärot
Vedticka</t>
        </is>
      </c>
      <c r="S14">
        <f>HYPERLINK("https://klasma.github.io/Logging_1962/artfynd/A 17082-2023 artfynd.xlsx", "A 17082-2023")</f>
        <v/>
      </c>
      <c r="T14">
        <f>HYPERLINK("https://klasma.github.io/Logging_1962/kartor/A 17082-2023 karta.png", "A 17082-2023")</f>
        <v/>
      </c>
      <c r="U14">
        <f>HYPERLINK("https://klasma.github.io/Logging_1962/knärot/A 17082-2023 karta knärot.png", "A 17082-2023")</f>
        <v/>
      </c>
      <c r="V14">
        <f>HYPERLINK("https://klasma.github.io/Logging_1962/klagomål/A 17082-2023 FSC-klagomål.docx", "A 17082-2023")</f>
        <v/>
      </c>
      <c r="W14">
        <f>HYPERLINK("https://klasma.github.io/Logging_1962/klagomålsmail/A 17082-2023 FSC-klagomål mail.docx", "A 17082-2023")</f>
        <v/>
      </c>
      <c r="X14">
        <f>HYPERLINK("https://klasma.github.io/Logging_1962/tillsyn/A 17082-2023 tillsynsbegäran.docx", "A 17082-2023")</f>
        <v/>
      </c>
      <c r="Y14">
        <f>HYPERLINK("https://klasma.github.io/Logging_1962/tillsynsmail/A 17082-2023 tillsynsbegäran mail.docx", "A 17082-2023")</f>
        <v/>
      </c>
    </row>
    <row r="15" ht="15" customHeight="1">
      <c r="A15" t="inlineStr">
        <is>
          <t>A 32563-2023</t>
        </is>
      </c>
      <c r="B15" s="1" t="n">
        <v>45121</v>
      </c>
      <c r="C15" s="1" t="n">
        <v>45762</v>
      </c>
      <c r="D15" t="inlineStr">
        <is>
          <t>VÄSTMANLANDS LÄN</t>
        </is>
      </c>
      <c r="E15" t="inlineStr">
        <is>
          <t>NORBERG</t>
        </is>
      </c>
      <c r="G15" t="n">
        <v>19.2</v>
      </c>
      <c r="H15" t="n">
        <v>1</v>
      </c>
      <c r="I15" t="n">
        <v>1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2</v>
      </c>
      <c r="R15" s="2" t="inlineStr">
        <is>
          <t>Tretåig hackspett
Kambräken</t>
        </is>
      </c>
      <c r="S15">
        <f>HYPERLINK("https://klasma.github.io/Logging_1962/artfynd/A 32563-2023 artfynd.xlsx", "A 32563-2023")</f>
        <v/>
      </c>
      <c r="T15">
        <f>HYPERLINK("https://klasma.github.io/Logging_1962/kartor/A 32563-2023 karta.png", "A 32563-2023")</f>
        <v/>
      </c>
      <c r="U15">
        <f>HYPERLINK("https://klasma.github.io/Logging_1962/knärot/A 32563-2023 karta knärot.png", "A 32563-2023")</f>
        <v/>
      </c>
      <c r="V15">
        <f>HYPERLINK("https://klasma.github.io/Logging_1962/klagomål/A 32563-2023 FSC-klagomål.docx", "A 32563-2023")</f>
        <v/>
      </c>
      <c r="W15">
        <f>HYPERLINK("https://klasma.github.io/Logging_1962/klagomålsmail/A 32563-2023 FSC-klagomål mail.docx", "A 32563-2023")</f>
        <v/>
      </c>
      <c r="X15">
        <f>HYPERLINK("https://klasma.github.io/Logging_1962/tillsyn/A 32563-2023 tillsynsbegäran.docx", "A 32563-2023")</f>
        <v/>
      </c>
      <c r="Y15">
        <f>HYPERLINK("https://klasma.github.io/Logging_1962/tillsynsmail/A 32563-2023 tillsynsbegäran mail.docx", "A 32563-2023")</f>
        <v/>
      </c>
      <c r="Z15">
        <f>HYPERLINK("https://klasma.github.io/Logging_1962/fåglar/A 32563-2023 prioriterade fågelarter.docx", "A 32563-2023")</f>
        <v/>
      </c>
    </row>
    <row r="16" ht="15" customHeight="1">
      <c r="A16" t="inlineStr">
        <is>
          <t>A 33377-2023</t>
        </is>
      </c>
      <c r="B16" s="1" t="n">
        <v>45128</v>
      </c>
      <c r="C16" s="1" t="n">
        <v>45762</v>
      </c>
      <c r="D16" t="inlineStr">
        <is>
          <t>VÄSTMANLANDS LÄN</t>
        </is>
      </c>
      <c r="E16" t="inlineStr">
        <is>
          <t>NORBERG</t>
        </is>
      </c>
      <c r="F16" t="inlineStr">
        <is>
          <t>Sveaskog</t>
        </is>
      </c>
      <c r="G16" t="n">
        <v>1.7</v>
      </c>
      <c r="H16" t="n">
        <v>0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Dofttaggsvamp
Gul taggsvamp</t>
        </is>
      </c>
      <c r="S16">
        <f>HYPERLINK("https://klasma.github.io/Logging_1962/artfynd/A 33377-2023 artfynd.xlsx", "A 33377-2023")</f>
        <v/>
      </c>
      <c r="T16">
        <f>HYPERLINK("https://klasma.github.io/Logging_1962/kartor/A 33377-2023 karta.png", "A 33377-2023")</f>
        <v/>
      </c>
      <c r="V16">
        <f>HYPERLINK("https://klasma.github.io/Logging_1962/klagomål/A 33377-2023 FSC-klagomål.docx", "A 33377-2023")</f>
        <v/>
      </c>
      <c r="W16">
        <f>HYPERLINK("https://klasma.github.io/Logging_1962/klagomålsmail/A 33377-2023 FSC-klagomål mail.docx", "A 33377-2023")</f>
        <v/>
      </c>
      <c r="X16">
        <f>HYPERLINK("https://klasma.github.io/Logging_1962/tillsyn/A 33377-2023 tillsynsbegäran.docx", "A 33377-2023")</f>
        <v/>
      </c>
      <c r="Y16">
        <f>HYPERLINK("https://klasma.github.io/Logging_1962/tillsynsmail/A 33377-2023 tillsynsbegäran mail.docx", "A 33377-2023")</f>
        <v/>
      </c>
    </row>
    <row r="17" ht="15" customHeight="1">
      <c r="A17" t="inlineStr">
        <is>
          <t>A 42196-2023</t>
        </is>
      </c>
      <c r="B17" s="1" t="n">
        <v>45179</v>
      </c>
      <c r="C17" s="1" t="n">
        <v>45762</v>
      </c>
      <c r="D17" t="inlineStr">
        <is>
          <t>VÄSTMANLANDS LÄN</t>
        </is>
      </c>
      <c r="E17" t="inlineStr">
        <is>
          <t>NORBERG</t>
        </is>
      </c>
      <c r="F17" t="inlineStr">
        <is>
          <t>Sveaskog</t>
        </is>
      </c>
      <c r="G17" t="n">
        <v>4.4</v>
      </c>
      <c r="H17" t="n">
        <v>2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2</v>
      </c>
      <c r="R17" s="2" t="inlineStr">
        <is>
          <t>Mattlummer
Revlummer</t>
        </is>
      </c>
      <c r="S17">
        <f>HYPERLINK("https://klasma.github.io/Logging_1962/artfynd/A 42196-2023 artfynd.xlsx", "A 42196-2023")</f>
        <v/>
      </c>
      <c r="T17">
        <f>HYPERLINK("https://klasma.github.io/Logging_1962/kartor/A 42196-2023 karta.png", "A 42196-2023")</f>
        <v/>
      </c>
      <c r="V17">
        <f>HYPERLINK("https://klasma.github.io/Logging_1962/klagomål/A 42196-2023 FSC-klagomål.docx", "A 42196-2023")</f>
        <v/>
      </c>
      <c r="W17">
        <f>HYPERLINK("https://klasma.github.io/Logging_1962/klagomålsmail/A 42196-2023 FSC-klagomål mail.docx", "A 42196-2023")</f>
        <v/>
      </c>
      <c r="X17">
        <f>HYPERLINK("https://klasma.github.io/Logging_1962/tillsyn/A 42196-2023 tillsynsbegäran.docx", "A 42196-2023")</f>
        <v/>
      </c>
      <c r="Y17">
        <f>HYPERLINK("https://klasma.github.io/Logging_1962/tillsynsmail/A 42196-2023 tillsynsbegäran mail.docx", "A 42196-2023")</f>
        <v/>
      </c>
    </row>
    <row r="18" ht="15" customHeight="1">
      <c r="A18" t="inlineStr">
        <is>
          <t>A 46028-2023</t>
        </is>
      </c>
      <c r="B18" s="1" t="n">
        <v>45196</v>
      </c>
      <c r="C18" s="1" t="n">
        <v>45762</v>
      </c>
      <c r="D18" t="inlineStr">
        <is>
          <t>VÄSTMANLANDS LÄN</t>
        </is>
      </c>
      <c r="E18" t="inlineStr">
        <is>
          <t>NORBERG</t>
        </is>
      </c>
      <c r="F18" t="inlineStr">
        <is>
          <t>Bergvik skog väst AB</t>
        </is>
      </c>
      <c r="G18" t="n">
        <v>7.5</v>
      </c>
      <c r="H18" t="n">
        <v>0</v>
      </c>
      <c r="I18" t="n">
        <v>0</v>
      </c>
      <c r="J18" t="n">
        <v>1</v>
      </c>
      <c r="K18" t="n">
        <v>1</v>
      </c>
      <c r="L18" t="n">
        <v>0</v>
      </c>
      <c r="M18" t="n">
        <v>0</v>
      </c>
      <c r="N18" t="n">
        <v>0</v>
      </c>
      <c r="O18" t="n">
        <v>2</v>
      </c>
      <c r="P18" t="n">
        <v>1</v>
      </c>
      <c r="Q18" t="n">
        <v>2</v>
      </c>
      <c r="R18" s="2" t="inlineStr">
        <is>
          <t>Norrlandsspindling
Dofttaggsvamp</t>
        </is>
      </c>
      <c r="S18">
        <f>HYPERLINK("https://klasma.github.io/Logging_1962/artfynd/A 46028-2023 artfynd.xlsx", "A 46028-2023")</f>
        <v/>
      </c>
      <c r="T18">
        <f>HYPERLINK("https://klasma.github.io/Logging_1962/kartor/A 46028-2023 karta.png", "A 46028-2023")</f>
        <v/>
      </c>
      <c r="V18">
        <f>HYPERLINK("https://klasma.github.io/Logging_1962/klagomål/A 46028-2023 FSC-klagomål.docx", "A 46028-2023")</f>
        <v/>
      </c>
      <c r="W18">
        <f>HYPERLINK("https://klasma.github.io/Logging_1962/klagomålsmail/A 46028-2023 FSC-klagomål mail.docx", "A 46028-2023")</f>
        <v/>
      </c>
      <c r="X18">
        <f>HYPERLINK("https://klasma.github.io/Logging_1962/tillsyn/A 46028-2023 tillsynsbegäran.docx", "A 46028-2023")</f>
        <v/>
      </c>
      <c r="Y18">
        <f>HYPERLINK("https://klasma.github.io/Logging_1962/tillsynsmail/A 46028-2023 tillsynsbegäran mail.docx", "A 46028-2023")</f>
        <v/>
      </c>
    </row>
    <row r="19" ht="15" customHeight="1">
      <c r="A19" t="inlineStr">
        <is>
          <t>A 39250-2024</t>
        </is>
      </c>
      <c r="B19" s="1" t="n">
        <v>45551</v>
      </c>
      <c r="C19" s="1" t="n">
        <v>45762</v>
      </c>
      <c r="D19" t="inlineStr">
        <is>
          <t>VÄSTMANLANDS LÄN</t>
        </is>
      </c>
      <c r="E19" t="inlineStr">
        <is>
          <t>NORBERG</t>
        </is>
      </c>
      <c r="F19" t="inlineStr">
        <is>
          <t>Bergvik skog väst AB</t>
        </is>
      </c>
      <c r="G19" t="n">
        <v>8.9</v>
      </c>
      <c r="H19" t="n">
        <v>0</v>
      </c>
      <c r="I19" t="n">
        <v>0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2</v>
      </c>
      <c r="R19" s="2" t="inlineStr">
        <is>
          <t>Motaggsvamp
Tallticka</t>
        </is>
      </c>
      <c r="S19">
        <f>HYPERLINK("https://klasma.github.io/Logging_1962/artfynd/A 39250-2024 artfynd.xlsx", "A 39250-2024")</f>
        <v/>
      </c>
      <c r="T19">
        <f>HYPERLINK("https://klasma.github.io/Logging_1962/kartor/A 39250-2024 karta.png", "A 39250-2024")</f>
        <v/>
      </c>
      <c r="V19">
        <f>HYPERLINK("https://klasma.github.io/Logging_1962/klagomål/A 39250-2024 FSC-klagomål.docx", "A 39250-2024")</f>
        <v/>
      </c>
      <c r="W19">
        <f>HYPERLINK("https://klasma.github.io/Logging_1962/klagomålsmail/A 39250-2024 FSC-klagomål mail.docx", "A 39250-2024")</f>
        <v/>
      </c>
      <c r="X19">
        <f>HYPERLINK("https://klasma.github.io/Logging_1962/tillsyn/A 39250-2024 tillsynsbegäran.docx", "A 39250-2024")</f>
        <v/>
      </c>
      <c r="Y19">
        <f>HYPERLINK("https://klasma.github.io/Logging_1962/tillsynsmail/A 39250-2024 tillsynsbegäran mail.docx", "A 39250-2024")</f>
        <v/>
      </c>
    </row>
    <row r="20" ht="15" customHeight="1">
      <c r="A20" t="inlineStr">
        <is>
          <t>A 13834-2025</t>
        </is>
      </c>
      <c r="B20" s="1" t="n">
        <v>45737</v>
      </c>
      <c r="C20" s="1" t="n">
        <v>45762</v>
      </c>
      <c r="D20" t="inlineStr">
        <is>
          <t>VÄSTMANLANDS LÄN</t>
        </is>
      </c>
      <c r="E20" t="inlineStr">
        <is>
          <t>NORBERG</t>
        </is>
      </c>
      <c r="F20" t="inlineStr">
        <is>
          <t>Sveaskog</t>
        </is>
      </c>
      <c r="G20" t="n">
        <v>4.7</v>
      </c>
      <c r="H20" t="n">
        <v>1</v>
      </c>
      <c r="I20" t="n">
        <v>0</v>
      </c>
      <c r="J20" t="n">
        <v>1</v>
      </c>
      <c r="K20" t="n">
        <v>0</v>
      </c>
      <c r="L20" t="n">
        <v>0</v>
      </c>
      <c r="M20" t="n">
        <v>0</v>
      </c>
      <c r="N20" t="n">
        <v>0</v>
      </c>
      <c r="O20" t="n">
        <v>1</v>
      </c>
      <c r="P20" t="n">
        <v>0</v>
      </c>
      <c r="Q20" t="n">
        <v>2</v>
      </c>
      <c r="R20" s="2" t="inlineStr">
        <is>
          <t>Slåtterfibbla
Blåsippa</t>
        </is>
      </c>
      <c r="S20">
        <f>HYPERLINK("https://klasma.github.io/Logging_191962/artfynd/A 13834-2025 artfynd.xlsx", "A 13834-2025")</f>
        <v/>
      </c>
      <c r="T20">
        <f>HYPERLINK("https://klasma.github.io/Logging_191962/kartor/A 13834-2025 karta.png", "A 13834-2025")</f>
        <v/>
      </c>
      <c r="V20">
        <f>HYPERLINK("https://klasma.github.io/Logging_191962/klagomål/A 13834-2025 FSC-klagomål.docx", "A 13834-2025")</f>
        <v/>
      </c>
      <c r="W20">
        <f>HYPERLINK("https://klasma.github.io/Logging_191962/klagomålsmail/A 13834-2025 FSC-klagomål mail.docx", "A 13834-2025")</f>
        <v/>
      </c>
      <c r="X20">
        <f>HYPERLINK("https://klasma.github.io/Logging_191962/tillsyn/A 13834-2025 tillsynsbegäran.docx", "A 13834-2025")</f>
        <v/>
      </c>
      <c r="Y20">
        <f>HYPERLINK("https://klasma.github.io/Logging_191962/tillsynsmail/A 13834-2025 tillsynsbegäran mail.docx", "A 13834-2025")</f>
        <v/>
      </c>
    </row>
    <row r="21" ht="15" customHeight="1">
      <c r="A21" t="inlineStr">
        <is>
          <t>A 59891-2019</t>
        </is>
      </c>
      <c r="B21" s="1" t="n">
        <v>43774</v>
      </c>
      <c r="C21" s="1" t="n">
        <v>45762</v>
      </c>
      <c r="D21" t="inlineStr">
        <is>
          <t>VÄSTMANLANDS LÄN</t>
        </is>
      </c>
      <c r="E21" t="inlineStr">
        <is>
          <t>NORBERG</t>
        </is>
      </c>
      <c r="G21" t="n">
        <v>2.6</v>
      </c>
      <c r="H21" t="n">
        <v>0</v>
      </c>
      <c r="I21" t="n">
        <v>1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Bollvitmossa</t>
        </is>
      </c>
      <c r="S21">
        <f>HYPERLINK("https://klasma.github.io/Logging_1962/artfynd/A 59891-2019 artfynd.xlsx", "A 59891-2019")</f>
        <v/>
      </c>
      <c r="T21">
        <f>HYPERLINK("https://klasma.github.io/Logging_1962/kartor/A 59891-2019 karta.png", "A 59891-2019")</f>
        <v/>
      </c>
      <c r="V21">
        <f>HYPERLINK("https://klasma.github.io/Logging_1962/klagomål/A 59891-2019 FSC-klagomål.docx", "A 59891-2019")</f>
        <v/>
      </c>
      <c r="W21">
        <f>HYPERLINK("https://klasma.github.io/Logging_1962/klagomålsmail/A 59891-2019 FSC-klagomål mail.docx", "A 59891-2019")</f>
        <v/>
      </c>
      <c r="X21">
        <f>HYPERLINK("https://klasma.github.io/Logging_1962/tillsyn/A 59891-2019 tillsynsbegäran.docx", "A 59891-2019")</f>
        <v/>
      </c>
      <c r="Y21">
        <f>HYPERLINK("https://klasma.github.io/Logging_1962/tillsynsmail/A 59891-2019 tillsynsbegäran mail.docx", "A 59891-2019")</f>
        <v/>
      </c>
    </row>
    <row r="22" ht="15" customHeight="1">
      <c r="A22" t="inlineStr">
        <is>
          <t>A 25391-2021</t>
        </is>
      </c>
      <c r="B22" s="1" t="n">
        <v>44342</v>
      </c>
      <c r="C22" s="1" t="n">
        <v>45762</v>
      </c>
      <c r="D22" t="inlineStr">
        <is>
          <t>VÄSTMANLANDS LÄN</t>
        </is>
      </c>
      <c r="E22" t="inlineStr">
        <is>
          <t>NORBERG</t>
        </is>
      </c>
      <c r="G22" t="n">
        <v>4.2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Vedticka</t>
        </is>
      </c>
      <c r="S22">
        <f>HYPERLINK("https://klasma.github.io/Logging_1962/artfynd/A 25391-2021 artfynd.xlsx", "A 25391-2021")</f>
        <v/>
      </c>
      <c r="T22">
        <f>HYPERLINK("https://klasma.github.io/Logging_1962/kartor/A 25391-2021 karta.png", "A 25391-2021")</f>
        <v/>
      </c>
      <c r="V22">
        <f>HYPERLINK("https://klasma.github.io/Logging_1962/klagomål/A 25391-2021 FSC-klagomål.docx", "A 25391-2021")</f>
        <v/>
      </c>
      <c r="W22">
        <f>HYPERLINK("https://klasma.github.io/Logging_1962/klagomålsmail/A 25391-2021 FSC-klagomål mail.docx", "A 25391-2021")</f>
        <v/>
      </c>
      <c r="X22">
        <f>HYPERLINK("https://klasma.github.io/Logging_1962/tillsyn/A 25391-2021 tillsynsbegäran.docx", "A 25391-2021")</f>
        <v/>
      </c>
      <c r="Y22">
        <f>HYPERLINK("https://klasma.github.io/Logging_1962/tillsynsmail/A 25391-2021 tillsynsbegäran mail.docx", "A 25391-2021")</f>
        <v/>
      </c>
    </row>
    <row r="23" ht="15" customHeight="1">
      <c r="A23" t="inlineStr">
        <is>
          <t>A 56825-2021</t>
        </is>
      </c>
      <c r="B23" s="1" t="n">
        <v>44480</v>
      </c>
      <c r="C23" s="1" t="n">
        <v>45762</v>
      </c>
      <c r="D23" t="inlineStr">
        <is>
          <t>VÄSTMANLANDS LÄN</t>
        </is>
      </c>
      <c r="E23" t="inlineStr">
        <is>
          <t>NORBERG</t>
        </is>
      </c>
      <c r="G23" t="n">
        <v>2.4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Blåsippa</t>
        </is>
      </c>
      <c r="S23">
        <f>HYPERLINK("https://klasma.github.io/Logging_1962/artfynd/A 56825-2021 artfynd.xlsx", "A 56825-2021")</f>
        <v/>
      </c>
      <c r="T23">
        <f>HYPERLINK("https://klasma.github.io/Logging_1962/kartor/A 56825-2021 karta.png", "A 56825-2021")</f>
        <v/>
      </c>
      <c r="V23">
        <f>HYPERLINK("https://klasma.github.io/Logging_1962/klagomål/A 56825-2021 FSC-klagomål.docx", "A 56825-2021")</f>
        <v/>
      </c>
      <c r="W23">
        <f>HYPERLINK("https://klasma.github.io/Logging_1962/klagomålsmail/A 56825-2021 FSC-klagomål mail.docx", "A 56825-2021")</f>
        <v/>
      </c>
      <c r="X23">
        <f>HYPERLINK("https://klasma.github.io/Logging_1962/tillsyn/A 56825-2021 tillsynsbegäran.docx", "A 56825-2021")</f>
        <v/>
      </c>
      <c r="Y23">
        <f>HYPERLINK("https://klasma.github.io/Logging_1962/tillsynsmail/A 56825-2021 tillsynsbegäran mail.docx", "A 56825-2021")</f>
        <v/>
      </c>
    </row>
    <row r="24" ht="15" customHeight="1">
      <c r="A24" t="inlineStr">
        <is>
          <t>A 9872-2022</t>
        </is>
      </c>
      <c r="B24" s="1" t="n">
        <v>44620</v>
      </c>
      <c r="C24" s="1" t="n">
        <v>45762</v>
      </c>
      <c r="D24" t="inlineStr">
        <is>
          <t>VÄSTMANLANDS LÄN</t>
        </is>
      </c>
      <c r="E24" t="inlineStr">
        <is>
          <t>NORBERG</t>
        </is>
      </c>
      <c r="G24" t="n">
        <v>0.7</v>
      </c>
      <c r="H24" t="n">
        <v>1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Mindre vattensalamander</t>
        </is>
      </c>
      <c r="S24">
        <f>HYPERLINK("https://klasma.github.io/Logging_1962/artfynd/A 9872-2022 artfynd.xlsx", "A 9872-2022")</f>
        <v/>
      </c>
      <c r="T24">
        <f>HYPERLINK("https://klasma.github.io/Logging_1962/kartor/A 9872-2022 karta.png", "A 9872-2022")</f>
        <v/>
      </c>
      <c r="V24">
        <f>HYPERLINK("https://klasma.github.io/Logging_1962/klagomål/A 9872-2022 FSC-klagomål.docx", "A 9872-2022")</f>
        <v/>
      </c>
      <c r="W24">
        <f>HYPERLINK("https://klasma.github.io/Logging_1962/klagomålsmail/A 9872-2022 FSC-klagomål mail.docx", "A 9872-2022")</f>
        <v/>
      </c>
      <c r="X24">
        <f>HYPERLINK("https://klasma.github.io/Logging_1962/tillsyn/A 9872-2022 tillsynsbegäran.docx", "A 9872-2022")</f>
        <v/>
      </c>
      <c r="Y24">
        <f>HYPERLINK("https://klasma.github.io/Logging_1962/tillsynsmail/A 9872-2022 tillsynsbegäran mail.docx", "A 9872-2022")</f>
        <v/>
      </c>
    </row>
    <row r="25" ht="15" customHeight="1">
      <c r="A25" t="inlineStr">
        <is>
          <t>A 41745-2022</t>
        </is>
      </c>
      <c r="B25" s="1" t="n">
        <v>44827</v>
      </c>
      <c r="C25" s="1" t="n">
        <v>45762</v>
      </c>
      <c r="D25" t="inlineStr">
        <is>
          <t>VÄSTMANLANDS LÄN</t>
        </is>
      </c>
      <c r="E25" t="inlineStr">
        <is>
          <t>NORBERG</t>
        </is>
      </c>
      <c r="G25" t="n">
        <v>12.7</v>
      </c>
      <c r="H25" t="n">
        <v>1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Järpe</t>
        </is>
      </c>
      <c r="S25">
        <f>HYPERLINK("https://klasma.github.io/Logging_1962/artfynd/A 41745-2022 artfynd.xlsx", "A 41745-2022")</f>
        <v/>
      </c>
      <c r="T25">
        <f>HYPERLINK("https://klasma.github.io/Logging_1962/kartor/A 41745-2022 karta.png", "A 41745-2022")</f>
        <v/>
      </c>
      <c r="V25">
        <f>HYPERLINK("https://klasma.github.io/Logging_1962/klagomål/A 41745-2022 FSC-klagomål.docx", "A 41745-2022")</f>
        <v/>
      </c>
      <c r="W25">
        <f>HYPERLINK("https://klasma.github.io/Logging_1962/klagomålsmail/A 41745-2022 FSC-klagomål mail.docx", "A 41745-2022")</f>
        <v/>
      </c>
      <c r="X25">
        <f>HYPERLINK("https://klasma.github.io/Logging_1962/tillsyn/A 41745-2022 tillsynsbegäran.docx", "A 41745-2022")</f>
        <v/>
      </c>
      <c r="Y25">
        <f>HYPERLINK("https://klasma.github.io/Logging_1962/tillsynsmail/A 41745-2022 tillsynsbegäran mail.docx", "A 41745-2022")</f>
        <v/>
      </c>
      <c r="Z25">
        <f>HYPERLINK("https://klasma.github.io/Logging_1962/fåglar/A 41745-2022 prioriterade fågelarter.docx", "A 41745-2022")</f>
        <v/>
      </c>
    </row>
    <row r="26" ht="15" customHeight="1">
      <c r="A26" t="inlineStr">
        <is>
          <t>A 52304-2022</t>
        </is>
      </c>
      <c r="B26" s="1" t="n">
        <v>44869</v>
      </c>
      <c r="C26" s="1" t="n">
        <v>45762</v>
      </c>
      <c r="D26" t="inlineStr">
        <is>
          <t>VÄSTMANLANDS LÄN</t>
        </is>
      </c>
      <c r="E26" t="inlineStr">
        <is>
          <t>NORBERG</t>
        </is>
      </c>
      <c r="G26" t="n">
        <v>14.5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Skarp dropptaggsvamp</t>
        </is>
      </c>
      <c r="S26">
        <f>HYPERLINK("https://klasma.github.io/Logging_1962/artfynd/A 52304-2022 artfynd.xlsx", "A 52304-2022")</f>
        <v/>
      </c>
      <c r="T26">
        <f>HYPERLINK("https://klasma.github.io/Logging_1962/kartor/A 52304-2022 karta.png", "A 52304-2022")</f>
        <v/>
      </c>
      <c r="V26">
        <f>HYPERLINK("https://klasma.github.io/Logging_1962/klagomål/A 52304-2022 FSC-klagomål.docx", "A 52304-2022")</f>
        <v/>
      </c>
      <c r="W26">
        <f>HYPERLINK("https://klasma.github.io/Logging_1962/klagomålsmail/A 52304-2022 FSC-klagomål mail.docx", "A 52304-2022")</f>
        <v/>
      </c>
      <c r="X26">
        <f>HYPERLINK("https://klasma.github.io/Logging_1962/tillsyn/A 52304-2022 tillsynsbegäran.docx", "A 52304-2022")</f>
        <v/>
      </c>
      <c r="Y26">
        <f>HYPERLINK("https://klasma.github.io/Logging_1962/tillsynsmail/A 52304-2022 tillsynsbegäran mail.docx", "A 52304-2022")</f>
        <v/>
      </c>
    </row>
    <row r="27" ht="15" customHeight="1">
      <c r="A27" t="inlineStr">
        <is>
          <t>A 23087-2023</t>
        </is>
      </c>
      <c r="B27" s="1" t="n">
        <v>45075</v>
      </c>
      <c r="C27" s="1" t="n">
        <v>45762</v>
      </c>
      <c r="D27" t="inlineStr">
        <is>
          <t>VÄSTMANLANDS LÄN</t>
        </is>
      </c>
      <c r="E27" t="inlineStr">
        <is>
          <t>NORBERG</t>
        </is>
      </c>
      <c r="F27" t="inlineStr">
        <is>
          <t>Bergvik skog väst AB</t>
        </is>
      </c>
      <c r="G27" t="n">
        <v>8.4</v>
      </c>
      <c r="H27" t="n">
        <v>1</v>
      </c>
      <c r="I27" t="n">
        <v>1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1</v>
      </c>
      <c r="R27" s="2" t="inlineStr">
        <is>
          <t>Plattlummer</t>
        </is>
      </c>
      <c r="S27">
        <f>HYPERLINK("https://klasma.github.io/Logging_1962/artfynd/A 23087-2023 artfynd.xlsx", "A 23087-2023")</f>
        <v/>
      </c>
      <c r="T27">
        <f>HYPERLINK("https://klasma.github.io/Logging_1962/kartor/A 23087-2023 karta.png", "A 23087-2023")</f>
        <v/>
      </c>
      <c r="V27">
        <f>HYPERLINK("https://klasma.github.io/Logging_1962/klagomål/A 23087-2023 FSC-klagomål.docx", "A 23087-2023")</f>
        <v/>
      </c>
      <c r="W27">
        <f>HYPERLINK("https://klasma.github.io/Logging_1962/klagomålsmail/A 23087-2023 FSC-klagomål mail.docx", "A 23087-2023")</f>
        <v/>
      </c>
      <c r="X27">
        <f>HYPERLINK("https://klasma.github.io/Logging_1962/tillsyn/A 23087-2023 tillsynsbegäran.docx", "A 23087-2023")</f>
        <v/>
      </c>
      <c r="Y27">
        <f>HYPERLINK("https://klasma.github.io/Logging_1962/tillsynsmail/A 23087-2023 tillsynsbegäran mail.docx", "A 23087-2023")</f>
        <v/>
      </c>
    </row>
    <row r="28" ht="15" customHeight="1">
      <c r="A28" t="inlineStr">
        <is>
          <t>A 23690-2023</t>
        </is>
      </c>
      <c r="B28" s="1" t="n">
        <v>45077</v>
      </c>
      <c r="C28" s="1" t="n">
        <v>45762</v>
      </c>
      <c r="D28" t="inlineStr">
        <is>
          <t>VÄSTMANLANDS LÄN</t>
        </is>
      </c>
      <c r="E28" t="inlineStr">
        <is>
          <t>NORBERG</t>
        </is>
      </c>
      <c r="G28" t="n">
        <v>2.4</v>
      </c>
      <c r="H28" t="n">
        <v>0</v>
      </c>
      <c r="I28" t="n">
        <v>1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1</v>
      </c>
      <c r="R28" s="2" t="inlineStr">
        <is>
          <t>Rödgul trumpetsvamp</t>
        </is>
      </c>
      <c r="S28">
        <f>HYPERLINK("https://klasma.github.io/Logging_1962/artfynd/A 23690-2023 artfynd.xlsx", "A 23690-2023")</f>
        <v/>
      </c>
      <c r="T28">
        <f>HYPERLINK("https://klasma.github.io/Logging_1962/kartor/A 23690-2023 karta.png", "A 23690-2023")</f>
        <v/>
      </c>
      <c r="U28">
        <f>HYPERLINK("https://klasma.github.io/Logging_1962/knärot/A 23690-2023 karta knärot.png", "A 23690-2023")</f>
        <v/>
      </c>
      <c r="V28">
        <f>HYPERLINK("https://klasma.github.io/Logging_1962/klagomål/A 23690-2023 FSC-klagomål.docx", "A 23690-2023")</f>
        <v/>
      </c>
      <c r="W28">
        <f>HYPERLINK("https://klasma.github.io/Logging_1962/klagomålsmail/A 23690-2023 FSC-klagomål mail.docx", "A 23690-2023")</f>
        <v/>
      </c>
      <c r="X28">
        <f>HYPERLINK("https://klasma.github.io/Logging_1962/tillsyn/A 23690-2023 tillsynsbegäran.docx", "A 23690-2023")</f>
        <v/>
      </c>
      <c r="Y28">
        <f>HYPERLINK("https://klasma.github.io/Logging_1962/tillsynsmail/A 23690-2023 tillsynsbegäran mail.docx", "A 23690-2023")</f>
        <v/>
      </c>
    </row>
    <row r="29" ht="15" customHeight="1">
      <c r="A29" t="inlineStr">
        <is>
          <t>A 42194-2023</t>
        </is>
      </c>
      <c r="B29" s="1" t="n">
        <v>45179</v>
      </c>
      <c r="C29" s="1" t="n">
        <v>45762</v>
      </c>
      <c r="D29" t="inlineStr">
        <is>
          <t>VÄSTMANLANDS LÄN</t>
        </is>
      </c>
      <c r="E29" t="inlineStr">
        <is>
          <t>NORBERG</t>
        </is>
      </c>
      <c r="F29" t="inlineStr">
        <is>
          <t>Sveaskog</t>
        </is>
      </c>
      <c r="G29" t="n">
        <v>2.8</v>
      </c>
      <c r="H29" t="n">
        <v>1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1</v>
      </c>
      <c r="R29" s="2" t="inlineStr">
        <is>
          <t>Revlummer</t>
        </is>
      </c>
      <c r="S29">
        <f>HYPERLINK("https://klasma.github.io/Logging_1962/artfynd/A 42194-2023 artfynd.xlsx", "A 42194-2023")</f>
        <v/>
      </c>
      <c r="T29">
        <f>HYPERLINK("https://klasma.github.io/Logging_1962/kartor/A 42194-2023 karta.png", "A 42194-2023")</f>
        <v/>
      </c>
      <c r="V29">
        <f>HYPERLINK("https://klasma.github.io/Logging_1962/klagomål/A 42194-2023 FSC-klagomål.docx", "A 42194-2023")</f>
        <v/>
      </c>
      <c r="W29">
        <f>HYPERLINK("https://klasma.github.io/Logging_1962/klagomålsmail/A 42194-2023 FSC-klagomål mail.docx", "A 42194-2023")</f>
        <v/>
      </c>
      <c r="X29">
        <f>HYPERLINK("https://klasma.github.io/Logging_1962/tillsyn/A 42194-2023 tillsynsbegäran.docx", "A 42194-2023")</f>
        <v/>
      </c>
      <c r="Y29">
        <f>HYPERLINK("https://klasma.github.io/Logging_1962/tillsynsmail/A 42194-2023 tillsynsbegäran mail.docx", "A 42194-2023")</f>
        <v/>
      </c>
    </row>
    <row r="30" ht="15" customHeight="1">
      <c r="A30" t="inlineStr">
        <is>
          <t>A 41468-2024</t>
        </is>
      </c>
      <c r="B30" s="1" t="n">
        <v>45560</v>
      </c>
      <c r="C30" s="1" t="n">
        <v>45762</v>
      </c>
      <c r="D30" t="inlineStr">
        <is>
          <t>VÄSTMANLANDS LÄN</t>
        </is>
      </c>
      <c r="E30" t="inlineStr">
        <is>
          <t>NORBERG</t>
        </is>
      </c>
      <c r="F30" t="inlineStr">
        <is>
          <t>Bergvik skog väst AB</t>
        </is>
      </c>
      <c r="G30" t="n">
        <v>14.2</v>
      </c>
      <c r="H30" t="n">
        <v>1</v>
      </c>
      <c r="I30" t="n">
        <v>0</v>
      </c>
      <c r="J30" t="n">
        <v>0</v>
      </c>
      <c r="K30" t="n">
        <v>1</v>
      </c>
      <c r="L30" t="n">
        <v>0</v>
      </c>
      <c r="M30" t="n">
        <v>0</v>
      </c>
      <c r="N30" t="n">
        <v>0</v>
      </c>
      <c r="O30" t="n">
        <v>1</v>
      </c>
      <c r="P30" t="n">
        <v>1</v>
      </c>
      <c r="Q30" t="n">
        <v>1</v>
      </c>
      <c r="R30" s="2" t="inlineStr">
        <is>
          <t>Knärot</t>
        </is>
      </c>
      <c r="S30">
        <f>HYPERLINK("https://klasma.github.io/Logging_1962/artfynd/A 41468-2024 artfynd.xlsx", "A 41468-2024")</f>
        <v/>
      </c>
      <c r="T30">
        <f>HYPERLINK("https://klasma.github.io/Logging_1962/kartor/A 41468-2024 karta.png", "A 41468-2024")</f>
        <v/>
      </c>
      <c r="U30">
        <f>HYPERLINK("https://klasma.github.io/Logging_1962/knärot/A 41468-2024 karta knärot.png", "A 41468-2024")</f>
        <v/>
      </c>
      <c r="V30">
        <f>HYPERLINK("https://klasma.github.io/Logging_1962/klagomål/A 41468-2024 FSC-klagomål.docx", "A 41468-2024")</f>
        <v/>
      </c>
      <c r="W30">
        <f>HYPERLINK("https://klasma.github.io/Logging_1962/klagomålsmail/A 41468-2024 FSC-klagomål mail.docx", "A 41468-2024")</f>
        <v/>
      </c>
      <c r="X30">
        <f>HYPERLINK("https://klasma.github.io/Logging_1962/tillsyn/A 41468-2024 tillsynsbegäran.docx", "A 41468-2024")</f>
        <v/>
      </c>
      <c r="Y30">
        <f>HYPERLINK("https://klasma.github.io/Logging_1962/tillsynsmail/A 41468-2024 tillsynsbegäran mail.docx", "A 41468-2024")</f>
        <v/>
      </c>
    </row>
    <row r="31" ht="15" customHeight="1">
      <c r="A31" t="inlineStr">
        <is>
          <t>A 47139-2024</t>
        </is>
      </c>
      <c r="B31" s="1" t="n">
        <v>45586</v>
      </c>
      <c r="C31" s="1" t="n">
        <v>45762</v>
      </c>
      <c r="D31" t="inlineStr">
        <is>
          <t>VÄSTMANLANDS LÄN</t>
        </is>
      </c>
      <c r="E31" t="inlineStr">
        <is>
          <t>NORBERG</t>
        </is>
      </c>
      <c r="F31" t="inlineStr">
        <is>
          <t>Sveaskog</t>
        </is>
      </c>
      <c r="G31" t="n">
        <v>5</v>
      </c>
      <c r="H31" t="n">
        <v>1</v>
      </c>
      <c r="I31" t="n">
        <v>1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1</v>
      </c>
      <c r="R31" s="2" t="inlineStr">
        <is>
          <t>Skogsknipprot</t>
        </is>
      </c>
      <c r="S31">
        <f>HYPERLINK("https://klasma.github.io/Logging_1962/artfynd/A 47139-2024 artfynd.xlsx", "A 47139-2024")</f>
        <v/>
      </c>
      <c r="T31">
        <f>HYPERLINK("https://klasma.github.io/Logging_1962/kartor/A 47139-2024 karta.png", "A 47139-2024")</f>
        <v/>
      </c>
      <c r="V31">
        <f>HYPERLINK("https://klasma.github.io/Logging_1962/klagomål/A 47139-2024 FSC-klagomål.docx", "A 47139-2024")</f>
        <v/>
      </c>
      <c r="W31">
        <f>HYPERLINK("https://klasma.github.io/Logging_1962/klagomålsmail/A 47139-2024 FSC-klagomål mail.docx", "A 47139-2024")</f>
        <v/>
      </c>
      <c r="X31">
        <f>HYPERLINK("https://klasma.github.io/Logging_1962/tillsyn/A 47139-2024 tillsynsbegäran.docx", "A 47139-2024")</f>
        <v/>
      </c>
      <c r="Y31">
        <f>HYPERLINK("https://klasma.github.io/Logging_1962/tillsynsmail/A 47139-2024 tillsynsbegäran mail.docx", "A 47139-2024")</f>
        <v/>
      </c>
    </row>
    <row r="32" ht="15" customHeight="1">
      <c r="A32" t="inlineStr">
        <is>
          <t>A 55711-2024</t>
        </is>
      </c>
      <c r="B32" s="1" t="n">
        <v>45622</v>
      </c>
      <c r="C32" s="1" t="n">
        <v>45762</v>
      </c>
      <c r="D32" t="inlineStr">
        <is>
          <t>VÄSTMANLANDS LÄN</t>
        </is>
      </c>
      <c r="E32" t="inlineStr">
        <is>
          <t>NORBERG</t>
        </is>
      </c>
      <c r="G32" t="n">
        <v>2.5</v>
      </c>
      <c r="H32" t="n">
        <v>1</v>
      </c>
      <c r="I32" t="n">
        <v>1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1</v>
      </c>
      <c r="R32" s="2" t="inlineStr">
        <is>
          <t>Skogsknipprot</t>
        </is>
      </c>
      <c r="S32">
        <f>HYPERLINK("https://klasma.github.io/Logging_1962/artfynd/A 55711-2024 artfynd.xlsx", "A 55711-2024")</f>
        <v/>
      </c>
      <c r="T32">
        <f>HYPERLINK("https://klasma.github.io/Logging_1962/kartor/A 55711-2024 karta.png", "A 55711-2024")</f>
        <v/>
      </c>
      <c r="V32">
        <f>HYPERLINK("https://klasma.github.io/Logging_1962/klagomål/A 55711-2024 FSC-klagomål.docx", "A 55711-2024")</f>
        <v/>
      </c>
      <c r="W32">
        <f>HYPERLINK("https://klasma.github.io/Logging_1962/klagomålsmail/A 55711-2024 FSC-klagomål mail.docx", "A 55711-2024")</f>
        <v/>
      </c>
      <c r="X32">
        <f>HYPERLINK("https://klasma.github.io/Logging_1962/tillsyn/A 55711-2024 tillsynsbegäran.docx", "A 55711-2024")</f>
        <v/>
      </c>
      <c r="Y32">
        <f>HYPERLINK("https://klasma.github.io/Logging_1962/tillsynsmail/A 55711-2024 tillsynsbegäran mail.docx", "A 55711-2024")</f>
        <v/>
      </c>
    </row>
    <row r="33" ht="15" customHeight="1">
      <c r="A33" t="inlineStr">
        <is>
          <t>A 61099-2024</t>
        </is>
      </c>
      <c r="B33" s="1" t="n">
        <v>45644</v>
      </c>
      <c r="C33" s="1" t="n">
        <v>45762</v>
      </c>
      <c r="D33" t="inlineStr">
        <is>
          <t>VÄSTMANLANDS LÄN</t>
        </is>
      </c>
      <c r="E33" t="inlineStr">
        <is>
          <t>NORBERG</t>
        </is>
      </c>
      <c r="G33" t="n">
        <v>0.4</v>
      </c>
      <c r="H33" t="n">
        <v>1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1</v>
      </c>
      <c r="R33" s="2" t="inlineStr">
        <is>
          <t>Blåsippa</t>
        </is>
      </c>
      <c r="S33">
        <f>HYPERLINK("https://klasma.github.io/Logging_1962/artfynd/A 61099-2024 artfynd.xlsx", "A 61099-2024")</f>
        <v/>
      </c>
      <c r="T33">
        <f>HYPERLINK("https://klasma.github.io/Logging_1962/kartor/A 61099-2024 karta.png", "A 61099-2024")</f>
        <v/>
      </c>
      <c r="V33">
        <f>HYPERLINK("https://klasma.github.io/Logging_1962/klagomål/A 61099-2024 FSC-klagomål.docx", "A 61099-2024")</f>
        <v/>
      </c>
      <c r="W33">
        <f>HYPERLINK("https://klasma.github.io/Logging_1962/klagomålsmail/A 61099-2024 FSC-klagomål mail.docx", "A 61099-2024")</f>
        <v/>
      </c>
      <c r="X33">
        <f>HYPERLINK("https://klasma.github.io/Logging_1962/tillsyn/A 61099-2024 tillsynsbegäran.docx", "A 61099-2024")</f>
        <v/>
      </c>
      <c r="Y33">
        <f>HYPERLINK("https://klasma.github.io/Logging_1962/tillsynsmail/A 61099-2024 tillsynsbegäran mail.docx", "A 61099-2024")</f>
        <v/>
      </c>
    </row>
    <row r="34" ht="15" customHeight="1">
      <c r="A34" t="inlineStr">
        <is>
          <t>A 15107-2025</t>
        </is>
      </c>
      <c r="B34" s="1" t="n">
        <v>45744</v>
      </c>
      <c r="C34" s="1" t="n">
        <v>45762</v>
      </c>
      <c r="D34" t="inlineStr">
        <is>
          <t>VÄSTMANLANDS LÄN</t>
        </is>
      </c>
      <c r="E34" t="inlineStr">
        <is>
          <t>NORBERG</t>
        </is>
      </c>
      <c r="F34" t="inlineStr">
        <is>
          <t>Sveaskog</t>
        </is>
      </c>
      <c r="G34" t="n">
        <v>0.9</v>
      </c>
      <c r="H34" t="n">
        <v>1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1</v>
      </c>
      <c r="R34" s="2" t="inlineStr">
        <is>
          <t>Blåsippa</t>
        </is>
      </c>
      <c r="S34">
        <f>HYPERLINK("https://klasma.github.io/Logging_191962/artfynd/A 15107-2025 artfynd.xlsx", "A 15107-2025")</f>
        <v/>
      </c>
      <c r="T34">
        <f>HYPERLINK("https://klasma.github.io/Logging_191962/kartor/A 15107-2025 karta.png", "A 15107-2025")</f>
        <v/>
      </c>
      <c r="V34">
        <f>HYPERLINK("https://klasma.github.io/Logging_191962/klagomål/A 15107-2025 FSC-klagomål.docx", "A 15107-2025")</f>
        <v/>
      </c>
      <c r="W34">
        <f>HYPERLINK("https://klasma.github.io/Logging_191962/klagomålsmail/A 15107-2025 FSC-klagomål mail.docx", "A 15107-2025")</f>
        <v/>
      </c>
      <c r="X34">
        <f>HYPERLINK("https://klasma.github.io/Logging_191962/tillsyn/A 15107-2025 tillsynsbegäran.docx", "A 15107-2025")</f>
        <v/>
      </c>
      <c r="Y34">
        <f>HYPERLINK("https://klasma.github.io/Logging_191962/tillsynsmail/A 15107-2025 tillsynsbegäran mail.docx", "A 15107-2025")</f>
        <v/>
      </c>
    </row>
    <row r="35" ht="15" customHeight="1">
      <c r="A35" t="inlineStr">
        <is>
          <t>A 20096-2019</t>
        </is>
      </c>
      <c r="B35" s="1" t="n">
        <v>43570</v>
      </c>
      <c r="C35" s="1" t="n">
        <v>45762</v>
      </c>
      <c r="D35" t="inlineStr">
        <is>
          <t>VÄSTMANLANDS LÄN</t>
        </is>
      </c>
      <c r="E35" t="inlineStr">
        <is>
          <t>NORBERG</t>
        </is>
      </c>
      <c r="G35" t="n">
        <v>0.9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21396-2019</t>
        </is>
      </c>
      <c r="B36" s="1" t="n">
        <v>43580</v>
      </c>
      <c r="C36" s="1" t="n">
        <v>45762</v>
      </c>
      <c r="D36" t="inlineStr">
        <is>
          <t>VÄSTMANLANDS LÄN</t>
        </is>
      </c>
      <c r="E36" t="inlineStr">
        <is>
          <t>NORBERG</t>
        </is>
      </c>
      <c r="F36" t="inlineStr">
        <is>
          <t>Övriga Aktiebolag</t>
        </is>
      </c>
      <c r="G36" t="n">
        <v>2.3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21392-2019</t>
        </is>
      </c>
      <c r="B37" s="1" t="n">
        <v>43580</v>
      </c>
      <c r="C37" s="1" t="n">
        <v>45762</v>
      </c>
      <c r="D37" t="inlineStr">
        <is>
          <t>VÄSTMANLANDS LÄN</t>
        </is>
      </c>
      <c r="E37" t="inlineStr">
        <is>
          <t>NORBERG</t>
        </is>
      </c>
      <c r="F37" t="inlineStr">
        <is>
          <t>Övriga Aktiebolag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21859-2019</t>
        </is>
      </c>
      <c r="B38" s="1" t="n">
        <v>43584</v>
      </c>
      <c r="C38" s="1" t="n">
        <v>45762</v>
      </c>
      <c r="D38" t="inlineStr">
        <is>
          <t>VÄSTMANLANDS LÄN</t>
        </is>
      </c>
      <c r="E38" t="inlineStr">
        <is>
          <t>NORBERG</t>
        </is>
      </c>
      <c r="F38" t="inlineStr">
        <is>
          <t>Övriga Aktiebolag</t>
        </is>
      </c>
      <c r="G38" t="n">
        <v>1.2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23153-2019</t>
        </is>
      </c>
      <c r="B39" s="1" t="n">
        <v>43588</v>
      </c>
      <c r="C39" s="1" t="n">
        <v>45762</v>
      </c>
      <c r="D39" t="inlineStr">
        <is>
          <t>VÄSTMANLANDS LÄN</t>
        </is>
      </c>
      <c r="E39" t="inlineStr">
        <is>
          <t>NORBERG</t>
        </is>
      </c>
      <c r="G39" t="n">
        <v>1.1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22947-2019</t>
        </is>
      </c>
      <c r="B40" s="1" t="n">
        <v>43591</v>
      </c>
      <c r="C40" s="1" t="n">
        <v>45762</v>
      </c>
      <c r="D40" t="inlineStr">
        <is>
          <t>VÄSTMANLANDS LÄN</t>
        </is>
      </c>
      <c r="E40" t="inlineStr">
        <is>
          <t>NORBERG</t>
        </is>
      </c>
      <c r="G40" t="n">
        <v>5.4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22953-2019</t>
        </is>
      </c>
      <c r="B41" s="1" t="n">
        <v>43591</v>
      </c>
      <c r="C41" s="1" t="n">
        <v>45762</v>
      </c>
      <c r="D41" t="inlineStr">
        <is>
          <t>VÄSTMANLANDS LÄN</t>
        </is>
      </c>
      <c r="E41" t="inlineStr">
        <is>
          <t>NORBERG</t>
        </is>
      </c>
      <c r="G41" t="n">
        <v>1.9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23592-2019</t>
        </is>
      </c>
      <c r="B42" s="1" t="n">
        <v>43593</v>
      </c>
      <c r="C42" s="1" t="n">
        <v>45762</v>
      </c>
      <c r="D42" t="inlineStr">
        <is>
          <t>VÄSTMANLANDS LÄN</t>
        </is>
      </c>
      <c r="E42" t="inlineStr">
        <is>
          <t>NORBERG</t>
        </is>
      </c>
      <c r="G42" t="n">
        <v>2.7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28170-2019</t>
        </is>
      </c>
      <c r="B43" s="1" t="n">
        <v>43621</v>
      </c>
      <c r="C43" s="1" t="n">
        <v>45762</v>
      </c>
      <c r="D43" t="inlineStr">
        <is>
          <t>VÄSTMANLANDS LÄN</t>
        </is>
      </c>
      <c r="E43" t="inlineStr">
        <is>
          <t>NORBERG</t>
        </is>
      </c>
      <c r="F43" t="inlineStr">
        <is>
          <t>Sveaskog</t>
        </is>
      </c>
      <c r="G43" t="n">
        <v>3.6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28136-2019</t>
        </is>
      </c>
      <c r="B44" s="1" t="n">
        <v>43621</v>
      </c>
      <c r="C44" s="1" t="n">
        <v>45762</v>
      </c>
      <c r="D44" t="inlineStr">
        <is>
          <t>VÄSTMANLANDS LÄN</t>
        </is>
      </c>
      <c r="E44" t="inlineStr">
        <is>
          <t>NORBERG</t>
        </is>
      </c>
      <c r="F44" t="inlineStr">
        <is>
          <t>Sveaskog</t>
        </is>
      </c>
      <c r="G44" t="n">
        <v>2.2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29832-2019</t>
        </is>
      </c>
      <c r="B45" s="1" t="n">
        <v>43629</v>
      </c>
      <c r="C45" s="1" t="n">
        <v>45762</v>
      </c>
      <c r="D45" t="inlineStr">
        <is>
          <t>VÄSTMANLANDS LÄN</t>
        </is>
      </c>
      <c r="E45" t="inlineStr">
        <is>
          <t>NORBERG</t>
        </is>
      </c>
      <c r="G45" t="n">
        <v>1.5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29961-2019</t>
        </is>
      </c>
      <c r="B46" s="1" t="n">
        <v>43633</v>
      </c>
      <c r="C46" s="1" t="n">
        <v>45762</v>
      </c>
      <c r="D46" t="inlineStr">
        <is>
          <t>VÄSTMANLANDS LÄN</t>
        </is>
      </c>
      <c r="E46" t="inlineStr">
        <is>
          <t>NORBERG</t>
        </is>
      </c>
      <c r="F46" t="inlineStr">
        <is>
          <t>Sveaskog</t>
        </is>
      </c>
      <c r="G46" t="n">
        <v>3.9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31029-2019</t>
        </is>
      </c>
      <c r="B47" s="1" t="n">
        <v>43635</v>
      </c>
      <c r="C47" s="1" t="n">
        <v>45762</v>
      </c>
      <c r="D47" t="inlineStr">
        <is>
          <t>VÄSTMANLANDS LÄN</t>
        </is>
      </c>
      <c r="E47" t="inlineStr">
        <is>
          <t>NORBERG</t>
        </is>
      </c>
      <c r="G47" t="n">
        <v>0.5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31748-2019</t>
        </is>
      </c>
      <c r="B48" s="1" t="n">
        <v>43642</v>
      </c>
      <c r="C48" s="1" t="n">
        <v>45762</v>
      </c>
      <c r="D48" t="inlineStr">
        <is>
          <t>VÄSTMANLANDS LÄN</t>
        </is>
      </c>
      <c r="E48" t="inlineStr">
        <is>
          <t>NORBERG</t>
        </is>
      </c>
      <c r="F48" t="inlineStr">
        <is>
          <t>Sveaskog</t>
        </is>
      </c>
      <c r="G48" t="n">
        <v>4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32245-2019</t>
        </is>
      </c>
      <c r="B49" s="1" t="n">
        <v>43643</v>
      </c>
      <c r="C49" s="1" t="n">
        <v>45762</v>
      </c>
      <c r="D49" t="inlineStr">
        <is>
          <t>VÄSTMANLANDS LÄN</t>
        </is>
      </c>
      <c r="E49" t="inlineStr">
        <is>
          <t>NORBERG</t>
        </is>
      </c>
      <c r="G49" t="n">
        <v>2.6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35074-2019</t>
        </is>
      </c>
      <c r="B50" s="1" t="n">
        <v>43661</v>
      </c>
      <c r="C50" s="1" t="n">
        <v>45762</v>
      </c>
      <c r="D50" t="inlineStr">
        <is>
          <t>VÄSTMANLANDS LÄN</t>
        </is>
      </c>
      <c r="E50" t="inlineStr">
        <is>
          <t>NORBERG</t>
        </is>
      </c>
      <c r="F50" t="inlineStr">
        <is>
          <t>Sveaskog</t>
        </is>
      </c>
      <c r="G50" t="n">
        <v>2.5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37524-2019</t>
        </is>
      </c>
      <c r="B51" s="1" t="n">
        <v>43679</v>
      </c>
      <c r="C51" s="1" t="n">
        <v>45762</v>
      </c>
      <c r="D51" t="inlineStr">
        <is>
          <t>VÄSTMANLANDS LÄN</t>
        </is>
      </c>
      <c r="E51" t="inlineStr">
        <is>
          <t>NORBERG</t>
        </is>
      </c>
      <c r="G51" t="n">
        <v>2.4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39198-2019</t>
        </is>
      </c>
      <c r="B52" s="1" t="n">
        <v>43685</v>
      </c>
      <c r="C52" s="1" t="n">
        <v>45762</v>
      </c>
      <c r="D52" t="inlineStr">
        <is>
          <t>VÄSTMANLANDS LÄN</t>
        </is>
      </c>
      <c r="E52" t="inlineStr">
        <is>
          <t>NORBERG</t>
        </is>
      </c>
      <c r="G52" t="n">
        <v>1.4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45467-2019</t>
        </is>
      </c>
      <c r="B53" s="1" t="n">
        <v>43710</v>
      </c>
      <c r="C53" s="1" t="n">
        <v>45762</v>
      </c>
      <c r="D53" t="inlineStr">
        <is>
          <t>VÄSTMANLANDS LÄN</t>
        </is>
      </c>
      <c r="E53" t="inlineStr">
        <is>
          <t>NORBERG</t>
        </is>
      </c>
      <c r="G53" t="n">
        <v>3.7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47217-2019</t>
        </is>
      </c>
      <c r="B54" s="1" t="n">
        <v>43720</v>
      </c>
      <c r="C54" s="1" t="n">
        <v>45762</v>
      </c>
      <c r="D54" t="inlineStr">
        <is>
          <t>VÄSTMANLANDS LÄN</t>
        </is>
      </c>
      <c r="E54" t="inlineStr">
        <is>
          <t>NORBERG</t>
        </is>
      </c>
      <c r="G54" t="n">
        <v>2.5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47197-2019</t>
        </is>
      </c>
      <c r="B55" s="1" t="n">
        <v>43720</v>
      </c>
      <c r="C55" s="1" t="n">
        <v>45762</v>
      </c>
      <c r="D55" t="inlineStr">
        <is>
          <t>VÄSTMANLANDS LÄN</t>
        </is>
      </c>
      <c r="E55" t="inlineStr">
        <is>
          <t>NORBERG</t>
        </is>
      </c>
      <c r="G55" t="n">
        <v>2.7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50359-2019</t>
        </is>
      </c>
      <c r="B56" s="1" t="n">
        <v>43735</v>
      </c>
      <c r="C56" s="1" t="n">
        <v>45762</v>
      </c>
      <c r="D56" t="inlineStr">
        <is>
          <t>VÄSTMANLANDS LÄN</t>
        </is>
      </c>
      <c r="E56" t="inlineStr">
        <is>
          <t>NORBERG</t>
        </is>
      </c>
      <c r="F56" t="inlineStr">
        <is>
          <t>Sveaskog</t>
        </is>
      </c>
      <c r="G56" t="n">
        <v>0.7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55079-2019</t>
        </is>
      </c>
      <c r="B57" s="1" t="n">
        <v>43752</v>
      </c>
      <c r="C57" s="1" t="n">
        <v>45762</v>
      </c>
      <c r="D57" t="inlineStr">
        <is>
          <t>VÄSTMANLANDS LÄN</t>
        </is>
      </c>
      <c r="E57" t="inlineStr">
        <is>
          <t>NORBERG</t>
        </is>
      </c>
      <c r="G57" t="n">
        <v>5.4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58573-2019</t>
        </is>
      </c>
      <c r="B58" s="1" t="n">
        <v>43766</v>
      </c>
      <c r="C58" s="1" t="n">
        <v>45762</v>
      </c>
      <c r="D58" t="inlineStr">
        <is>
          <t>VÄSTMANLANDS LÄN</t>
        </is>
      </c>
      <c r="E58" t="inlineStr">
        <is>
          <t>NORBERG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58582-2019</t>
        </is>
      </c>
      <c r="B59" s="1" t="n">
        <v>43766</v>
      </c>
      <c r="C59" s="1" t="n">
        <v>45762</v>
      </c>
      <c r="D59" t="inlineStr">
        <is>
          <t>VÄSTMANLANDS LÄN</t>
        </is>
      </c>
      <c r="E59" t="inlineStr">
        <is>
          <t>NORBERG</t>
        </is>
      </c>
      <c r="G59" t="n">
        <v>11.3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58555-2019</t>
        </is>
      </c>
      <c r="B60" s="1" t="n">
        <v>43766</v>
      </c>
      <c r="C60" s="1" t="n">
        <v>45762</v>
      </c>
      <c r="D60" t="inlineStr">
        <is>
          <t>VÄSTMANLANDS LÄN</t>
        </is>
      </c>
      <c r="E60" t="inlineStr">
        <is>
          <t>NORBERG</t>
        </is>
      </c>
      <c r="G60" t="n">
        <v>1.8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58579-2019</t>
        </is>
      </c>
      <c r="B61" s="1" t="n">
        <v>43766</v>
      </c>
      <c r="C61" s="1" t="n">
        <v>45762</v>
      </c>
      <c r="D61" t="inlineStr">
        <is>
          <t>VÄSTMANLANDS LÄN</t>
        </is>
      </c>
      <c r="E61" t="inlineStr">
        <is>
          <t>NORBERG</t>
        </is>
      </c>
      <c r="G61" t="n">
        <v>6.9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57997-2019</t>
        </is>
      </c>
      <c r="B62" s="1" t="n">
        <v>43769</v>
      </c>
      <c r="C62" s="1" t="n">
        <v>45762</v>
      </c>
      <c r="D62" t="inlineStr">
        <is>
          <t>VÄSTMANLANDS LÄN</t>
        </is>
      </c>
      <c r="E62" t="inlineStr">
        <is>
          <t>NORBERG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61555-2019</t>
        </is>
      </c>
      <c r="B63" s="1" t="n">
        <v>43784</v>
      </c>
      <c r="C63" s="1" t="n">
        <v>45762</v>
      </c>
      <c r="D63" t="inlineStr">
        <is>
          <t>VÄSTMANLANDS LÄN</t>
        </is>
      </c>
      <c r="E63" t="inlineStr">
        <is>
          <t>NORBERG</t>
        </is>
      </c>
      <c r="F63" t="inlineStr">
        <is>
          <t>Sveaskog</t>
        </is>
      </c>
      <c r="G63" t="n">
        <v>12.9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67711-2019</t>
        </is>
      </c>
      <c r="B64" s="1" t="n">
        <v>43810</v>
      </c>
      <c r="C64" s="1" t="n">
        <v>45762</v>
      </c>
      <c r="D64" t="inlineStr">
        <is>
          <t>VÄSTMANLANDS LÄN</t>
        </is>
      </c>
      <c r="E64" t="inlineStr">
        <is>
          <t>NORBERG</t>
        </is>
      </c>
      <c r="G64" t="n">
        <v>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1288-2020</t>
        </is>
      </c>
      <c r="B65" s="1" t="n">
        <v>43842</v>
      </c>
      <c r="C65" s="1" t="n">
        <v>45762</v>
      </c>
      <c r="D65" t="inlineStr">
        <is>
          <t>VÄSTMANLANDS LÄN</t>
        </is>
      </c>
      <c r="E65" t="inlineStr">
        <is>
          <t>NORBERG</t>
        </is>
      </c>
      <c r="G65" t="n">
        <v>0.3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4978-2020</t>
        </is>
      </c>
      <c r="B66" s="1" t="n">
        <v>43859</v>
      </c>
      <c r="C66" s="1" t="n">
        <v>45762</v>
      </c>
      <c r="D66" t="inlineStr">
        <is>
          <t>VÄSTMANLANDS LÄN</t>
        </is>
      </c>
      <c r="E66" t="inlineStr">
        <is>
          <t>NORBERG</t>
        </is>
      </c>
      <c r="G66" t="n">
        <v>2.2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4951-2020</t>
        </is>
      </c>
      <c r="B67" s="1" t="n">
        <v>43859</v>
      </c>
      <c r="C67" s="1" t="n">
        <v>45762</v>
      </c>
      <c r="D67" t="inlineStr">
        <is>
          <t>VÄSTMANLANDS LÄN</t>
        </is>
      </c>
      <c r="E67" t="inlineStr">
        <is>
          <t>NORBERG</t>
        </is>
      </c>
      <c r="G67" t="n">
        <v>0.7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7735-2020</t>
        </is>
      </c>
      <c r="B68" s="1" t="n">
        <v>43872</v>
      </c>
      <c r="C68" s="1" t="n">
        <v>45762</v>
      </c>
      <c r="D68" t="inlineStr">
        <is>
          <t>VÄSTMANLANDS LÄN</t>
        </is>
      </c>
      <c r="E68" t="inlineStr">
        <is>
          <t>NORBERG</t>
        </is>
      </c>
      <c r="G68" t="n">
        <v>1.4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9583-2020</t>
        </is>
      </c>
      <c r="B69" s="1" t="n">
        <v>43881</v>
      </c>
      <c r="C69" s="1" t="n">
        <v>45762</v>
      </c>
      <c r="D69" t="inlineStr">
        <is>
          <t>VÄSTMANLANDS LÄN</t>
        </is>
      </c>
      <c r="E69" t="inlineStr">
        <is>
          <t>NORBERG</t>
        </is>
      </c>
      <c r="F69" t="inlineStr">
        <is>
          <t>Övriga Aktiebolag</t>
        </is>
      </c>
      <c r="G69" t="n">
        <v>2.9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9989-2020</t>
        </is>
      </c>
      <c r="B70" s="1" t="n">
        <v>43882</v>
      </c>
      <c r="C70" s="1" t="n">
        <v>45762</v>
      </c>
      <c r="D70" t="inlineStr">
        <is>
          <t>VÄSTMANLANDS LÄN</t>
        </is>
      </c>
      <c r="E70" t="inlineStr">
        <is>
          <t>NORBERG</t>
        </is>
      </c>
      <c r="G70" t="n">
        <v>3.1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10006-2020</t>
        </is>
      </c>
      <c r="B71" s="1" t="n">
        <v>43882</v>
      </c>
      <c r="C71" s="1" t="n">
        <v>45762</v>
      </c>
      <c r="D71" t="inlineStr">
        <is>
          <t>VÄSTMANLANDS LÄN</t>
        </is>
      </c>
      <c r="E71" t="inlineStr">
        <is>
          <t>NORBERG</t>
        </is>
      </c>
      <c r="G71" t="n">
        <v>0.8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10000-2020</t>
        </is>
      </c>
      <c r="B72" s="1" t="n">
        <v>43882</v>
      </c>
      <c r="C72" s="1" t="n">
        <v>45762</v>
      </c>
      <c r="D72" t="inlineStr">
        <is>
          <t>VÄSTMANLANDS LÄN</t>
        </is>
      </c>
      <c r="E72" t="inlineStr">
        <is>
          <t>NORBERG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10001-2020</t>
        </is>
      </c>
      <c r="B73" s="1" t="n">
        <v>43882</v>
      </c>
      <c r="C73" s="1" t="n">
        <v>45762</v>
      </c>
      <c r="D73" t="inlineStr">
        <is>
          <t>VÄSTMANLANDS LÄN</t>
        </is>
      </c>
      <c r="E73" t="inlineStr">
        <is>
          <t>NORBERG</t>
        </is>
      </c>
      <c r="G73" t="n">
        <v>5.9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10783-2020</t>
        </is>
      </c>
      <c r="B74" s="1" t="n">
        <v>43888</v>
      </c>
      <c r="C74" s="1" t="n">
        <v>45762</v>
      </c>
      <c r="D74" t="inlineStr">
        <is>
          <t>VÄSTMANLANDS LÄN</t>
        </is>
      </c>
      <c r="E74" t="inlineStr">
        <is>
          <t>NORBERG</t>
        </is>
      </c>
      <c r="F74" t="inlineStr">
        <is>
          <t>Bergvik skog väst AB</t>
        </is>
      </c>
      <c r="G74" t="n">
        <v>3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10917-2020</t>
        </is>
      </c>
      <c r="B75" s="1" t="n">
        <v>43889</v>
      </c>
      <c r="C75" s="1" t="n">
        <v>45762</v>
      </c>
      <c r="D75" t="inlineStr">
        <is>
          <t>VÄSTMANLANDS LÄN</t>
        </is>
      </c>
      <c r="E75" t="inlineStr">
        <is>
          <t>NORBERG</t>
        </is>
      </c>
      <c r="F75" t="inlineStr">
        <is>
          <t>Övriga Aktiebolag</t>
        </is>
      </c>
      <c r="G75" t="n">
        <v>10.1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10905-2020</t>
        </is>
      </c>
      <c r="B76" s="1" t="n">
        <v>43889</v>
      </c>
      <c r="C76" s="1" t="n">
        <v>45762</v>
      </c>
      <c r="D76" t="inlineStr">
        <is>
          <t>VÄSTMANLANDS LÄN</t>
        </is>
      </c>
      <c r="E76" t="inlineStr">
        <is>
          <t>NORBERG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11629-2020</t>
        </is>
      </c>
      <c r="B77" s="1" t="n">
        <v>43893</v>
      </c>
      <c r="C77" s="1" t="n">
        <v>45762</v>
      </c>
      <c r="D77" t="inlineStr">
        <is>
          <t>VÄSTMANLANDS LÄN</t>
        </is>
      </c>
      <c r="E77" t="inlineStr">
        <is>
          <t>NORBERG</t>
        </is>
      </c>
      <c r="G77" t="n">
        <v>1.8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11826-2020</t>
        </is>
      </c>
      <c r="B78" s="1" t="n">
        <v>43894</v>
      </c>
      <c r="C78" s="1" t="n">
        <v>45762</v>
      </c>
      <c r="D78" t="inlineStr">
        <is>
          <t>VÄSTMANLANDS LÄN</t>
        </is>
      </c>
      <c r="E78" t="inlineStr">
        <is>
          <t>NORBERG</t>
        </is>
      </c>
      <c r="G78" t="n">
        <v>1.8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12621-2020</t>
        </is>
      </c>
      <c r="B79" s="1" t="n">
        <v>43899</v>
      </c>
      <c r="C79" s="1" t="n">
        <v>45762</v>
      </c>
      <c r="D79" t="inlineStr">
        <is>
          <t>VÄSTMANLANDS LÄN</t>
        </is>
      </c>
      <c r="E79" t="inlineStr">
        <is>
          <t>NORBERG</t>
        </is>
      </c>
      <c r="G79" t="n">
        <v>9.300000000000001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15179-2020</t>
        </is>
      </c>
      <c r="B80" s="1" t="n">
        <v>43913</v>
      </c>
      <c r="C80" s="1" t="n">
        <v>45762</v>
      </c>
      <c r="D80" t="inlineStr">
        <is>
          <t>VÄSTMANLANDS LÄN</t>
        </is>
      </c>
      <c r="E80" t="inlineStr">
        <is>
          <t>NORBERG</t>
        </is>
      </c>
      <c r="F80" t="inlineStr">
        <is>
          <t>Övriga Aktiebolag</t>
        </is>
      </c>
      <c r="G80" t="n">
        <v>8.199999999999999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15546-2020</t>
        </is>
      </c>
      <c r="B81" s="1" t="n">
        <v>43914</v>
      </c>
      <c r="C81" s="1" t="n">
        <v>45762</v>
      </c>
      <c r="D81" t="inlineStr">
        <is>
          <t>VÄSTMANLANDS LÄN</t>
        </is>
      </c>
      <c r="E81" t="inlineStr">
        <is>
          <t>NORBERG</t>
        </is>
      </c>
      <c r="G81" t="n">
        <v>0.5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20480-2020</t>
        </is>
      </c>
      <c r="B82" s="1" t="n">
        <v>43948</v>
      </c>
      <c r="C82" s="1" t="n">
        <v>45762</v>
      </c>
      <c r="D82" t="inlineStr">
        <is>
          <t>VÄSTMANLANDS LÄN</t>
        </is>
      </c>
      <c r="E82" t="inlineStr">
        <is>
          <t>NORBERG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20483-2020</t>
        </is>
      </c>
      <c r="B83" s="1" t="n">
        <v>43948</v>
      </c>
      <c r="C83" s="1" t="n">
        <v>45762</v>
      </c>
      <c r="D83" t="inlineStr">
        <is>
          <t>VÄSTMANLANDS LÄN</t>
        </is>
      </c>
      <c r="E83" t="inlineStr">
        <is>
          <t>NORBERG</t>
        </is>
      </c>
      <c r="G83" t="n">
        <v>0.5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22413-2020</t>
        </is>
      </c>
      <c r="B84" s="1" t="n">
        <v>43963</v>
      </c>
      <c r="C84" s="1" t="n">
        <v>45762</v>
      </c>
      <c r="D84" t="inlineStr">
        <is>
          <t>VÄSTMANLANDS LÄN</t>
        </is>
      </c>
      <c r="E84" t="inlineStr">
        <is>
          <t>NORBERG</t>
        </is>
      </c>
      <c r="G84" t="n">
        <v>1.9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23517-2020</t>
        </is>
      </c>
      <c r="B85" s="1" t="n">
        <v>43969</v>
      </c>
      <c r="C85" s="1" t="n">
        <v>45762</v>
      </c>
      <c r="D85" t="inlineStr">
        <is>
          <t>VÄSTMANLANDS LÄN</t>
        </is>
      </c>
      <c r="E85" t="inlineStr">
        <is>
          <t>NORBERG</t>
        </is>
      </c>
      <c r="G85" t="n">
        <v>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29606-2020</t>
        </is>
      </c>
      <c r="B86" s="1" t="n">
        <v>44005</v>
      </c>
      <c r="C86" s="1" t="n">
        <v>45762</v>
      </c>
      <c r="D86" t="inlineStr">
        <is>
          <t>VÄSTMANLANDS LÄN</t>
        </is>
      </c>
      <c r="E86" t="inlineStr">
        <is>
          <t>NORBERG</t>
        </is>
      </c>
      <c r="F86" t="inlineStr">
        <is>
          <t>Sveaskog</t>
        </is>
      </c>
      <c r="G86" t="n">
        <v>0.8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31719-2020</t>
        </is>
      </c>
      <c r="B87" s="1" t="n">
        <v>44014</v>
      </c>
      <c r="C87" s="1" t="n">
        <v>45762</v>
      </c>
      <c r="D87" t="inlineStr">
        <is>
          <t>VÄSTMANLANDS LÄN</t>
        </is>
      </c>
      <c r="E87" t="inlineStr">
        <is>
          <t>NORBERG</t>
        </is>
      </c>
      <c r="F87" t="inlineStr">
        <is>
          <t>Sveaskog</t>
        </is>
      </c>
      <c r="G87" t="n">
        <v>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36173-2020</t>
        </is>
      </c>
      <c r="B88" s="1" t="n">
        <v>44048</v>
      </c>
      <c r="C88" s="1" t="n">
        <v>45762</v>
      </c>
      <c r="D88" t="inlineStr">
        <is>
          <t>VÄSTMANLANDS LÄN</t>
        </is>
      </c>
      <c r="E88" t="inlineStr">
        <is>
          <t>NORBERG</t>
        </is>
      </c>
      <c r="G88" t="n">
        <v>1.9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44363-2020</t>
        </is>
      </c>
      <c r="B89" s="1" t="n">
        <v>44084</v>
      </c>
      <c r="C89" s="1" t="n">
        <v>45762</v>
      </c>
      <c r="D89" t="inlineStr">
        <is>
          <t>VÄSTMANLANDS LÄN</t>
        </is>
      </c>
      <c r="E89" t="inlineStr">
        <is>
          <t>NORBERG</t>
        </is>
      </c>
      <c r="F89" t="inlineStr">
        <is>
          <t>Bergvik skog väst AB</t>
        </is>
      </c>
      <c r="G89" t="n">
        <v>3.9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45800-2020</t>
        </is>
      </c>
      <c r="B90" s="1" t="n">
        <v>44090</v>
      </c>
      <c r="C90" s="1" t="n">
        <v>45762</v>
      </c>
      <c r="D90" t="inlineStr">
        <is>
          <t>VÄSTMANLANDS LÄN</t>
        </is>
      </c>
      <c r="E90" t="inlineStr">
        <is>
          <t>NORBERG</t>
        </is>
      </c>
      <c r="G90" t="n">
        <v>2.6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45802-2020</t>
        </is>
      </c>
      <c r="B91" s="1" t="n">
        <v>44090</v>
      </c>
      <c r="C91" s="1" t="n">
        <v>45762</v>
      </c>
      <c r="D91" t="inlineStr">
        <is>
          <t>VÄSTMANLANDS LÄN</t>
        </is>
      </c>
      <c r="E91" t="inlineStr">
        <is>
          <t>NORBERG</t>
        </is>
      </c>
      <c r="G91" t="n">
        <v>1.6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47514-2020</t>
        </is>
      </c>
      <c r="B92" s="1" t="n">
        <v>44098</v>
      </c>
      <c r="C92" s="1" t="n">
        <v>45762</v>
      </c>
      <c r="D92" t="inlineStr">
        <is>
          <t>VÄSTMANLANDS LÄN</t>
        </is>
      </c>
      <c r="E92" t="inlineStr">
        <is>
          <t>NORBERG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52006-2020</t>
        </is>
      </c>
      <c r="B93" s="1" t="n">
        <v>44116</v>
      </c>
      <c r="C93" s="1" t="n">
        <v>45762</v>
      </c>
      <c r="D93" t="inlineStr">
        <is>
          <t>VÄSTMANLANDS LÄN</t>
        </is>
      </c>
      <c r="E93" t="inlineStr">
        <is>
          <t>NORBERG</t>
        </is>
      </c>
      <c r="G93" t="n">
        <v>6.5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60161-2020</t>
        </is>
      </c>
      <c r="B94" s="1" t="n">
        <v>44151</v>
      </c>
      <c r="C94" s="1" t="n">
        <v>45762</v>
      </c>
      <c r="D94" t="inlineStr">
        <is>
          <t>VÄSTMANLANDS LÄN</t>
        </is>
      </c>
      <c r="E94" t="inlineStr">
        <is>
          <t>NORBERG</t>
        </is>
      </c>
      <c r="G94" t="n">
        <v>2.8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60442-2020</t>
        </is>
      </c>
      <c r="B95" s="1" t="n">
        <v>44151</v>
      </c>
      <c r="C95" s="1" t="n">
        <v>45762</v>
      </c>
      <c r="D95" t="inlineStr">
        <is>
          <t>VÄSTMANLANDS LÄN</t>
        </is>
      </c>
      <c r="E95" t="inlineStr">
        <is>
          <t>NORBERG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63718-2020</t>
        </is>
      </c>
      <c r="B96" s="1" t="n">
        <v>44162</v>
      </c>
      <c r="C96" s="1" t="n">
        <v>45762</v>
      </c>
      <c r="D96" t="inlineStr">
        <is>
          <t>VÄSTMANLANDS LÄN</t>
        </is>
      </c>
      <c r="E96" t="inlineStr">
        <is>
          <t>NORBERG</t>
        </is>
      </c>
      <c r="G96" t="n">
        <v>1.7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64885-2020</t>
        </is>
      </c>
      <c r="B97" s="1" t="n">
        <v>44171</v>
      </c>
      <c r="C97" s="1" t="n">
        <v>45762</v>
      </c>
      <c r="D97" t="inlineStr">
        <is>
          <t>VÄSTMANLANDS LÄN</t>
        </is>
      </c>
      <c r="E97" t="inlineStr">
        <is>
          <t>NORBERG</t>
        </is>
      </c>
      <c r="G97" t="n">
        <v>1.8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69514-2020</t>
        </is>
      </c>
      <c r="B98" s="1" t="n">
        <v>44193</v>
      </c>
      <c r="C98" s="1" t="n">
        <v>45762</v>
      </c>
      <c r="D98" t="inlineStr">
        <is>
          <t>VÄSTMANLANDS LÄN</t>
        </is>
      </c>
      <c r="E98" t="inlineStr">
        <is>
          <t>NORBERG</t>
        </is>
      </c>
      <c r="G98" t="n">
        <v>2.7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69450-2020</t>
        </is>
      </c>
      <c r="B99" s="1" t="n">
        <v>44194</v>
      </c>
      <c r="C99" s="1" t="n">
        <v>45762</v>
      </c>
      <c r="D99" t="inlineStr">
        <is>
          <t>VÄSTMANLANDS LÄN</t>
        </is>
      </c>
      <c r="E99" t="inlineStr">
        <is>
          <t>NORBERG</t>
        </is>
      </c>
      <c r="F99" t="inlineStr">
        <is>
          <t>Kyrkan</t>
        </is>
      </c>
      <c r="G99" t="n">
        <v>5.3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69590-2020</t>
        </is>
      </c>
      <c r="B100" s="1" t="n">
        <v>44194</v>
      </c>
      <c r="C100" s="1" t="n">
        <v>45762</v>
      </c>
      <c r="D100" t="inlineStr">
        <is>
          <t>VÄSTMANLANDS LÄN</t>
        </is>
      </c>
      <c r="E100" t="inlineStr">
        <is>
          <t>NORBERG</t>
        </is>
      </c>
      <c r="F100" t="inlineStr">
        <is>
          <t>Kyrkan</t>
        </is>
      </c>
      <c r="G100" t="n">
        <v>3.1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4183-2021</t>
        </is>
      </c>
      <c r="B101" s="1" t="n">
        <v>44218</v>
      </c>
      <c r="C101" s="1" t="n">
        <v>45762</v>
      </c>
      <c r="D101" t="inlineStr">
        <is>
          <t>VÄSTMANLANDS LÄN</t>
        </is>
      </c>
      <c r="E101" t="inlineStr">
        <is>
          <t>NORBERG</t>
        </is>
      </c>
      <c r="G101" t="n">
        <v>1.8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4471-2021</t>
        </is>
      </c>
      <c r="B102" s="1" t="n">
        <v>44224</v>
      </c>
      <c r="C102" s="1" t="n">
        <v>45762</v>
      </c>
      <c r="D102" t="inlineStr">
        <is>
          <t>VÄSTMANLANDS LÄN</t>
        </is>
      </c>
      <c r="E102" t="inlineStr">
        <is>
          <t>NORBERG</t>
        </is>
      </c>
      <c r="G102" t="n">
        <v>0.7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7642-2021</t>
        </is>
      </c>
      <c r="B103" s="1" t="n">
        <v>44239</v>
      </c>
      <c r="C103" s="1" t="n">
        <v>45762</v>
      </c>
      <c r="D103" t="inlineStr">
        <is>
          <t>VÄSTMANLANDS LÄN</t>
        </is>
      </c>
      <c r="E103" t="inlineStr">
        <is>
          <t>NORBERG</t>
        </is>
      </c>
      <c r="G103" t="n">
        <v>3.8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8205-2021</t>
        </is>
      </c>
      <c r="B104" s="1" t="n">
        <v>44244</v>
      </c>
      <c r="C104" s="1" t="n">
        <v>45762</v>
      </c>
      <c r="D104" t="inlineStr">
        <is>
          <t>VÄSTMANLANDS LÄN</t>
        </is>
      </c>
      <c r="E104" t="inlineStr">
        <is>
          <t>NORBERG</t>
        </is>
      </c>
      <c r="G104" t="n">
        <v>10.4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10339-2021</t>
        </is>
      </c>
      <c r="B105" s="1" t="n">
        <v>44257</v>
      </c>
      <c r="C105" s="1" t="n">
        <v>45762</v>
      </c>
      <c r="D105" t="inlineStr">
        <is>
          <t>VÄSTMANLANDS LÄN</t>
        </is>
      </c>
      <c r="E105" t="inlineStr">
        <is>
          <t>NORBERG</t>
        </is>
      </c>
      <c r="G105" t="n">
        <v>13.8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11448-2021</t>
        </is>
      </c>
      <c r="B106" s="1" t="n">
        <v>44264</v>
      </c>
      <c r="C106" s="1" t="n">
        <v>45762</v>
      </c>
      <c r="D106" t="inlineStr">
        <is>
          <t>VÄSTMANLANDS LÄN</t>
        </is>
      </c>
      <c r="E106" t="inlineStr">
        <is>
          <t>NORBERG</t>
        </is>
      </c>
      <c r="F106" t="inlineStr">
        <is>
          <t>Övriga Aktiebolag</t>
        </is>
      </c>
      <c r="G106" t="n">
        <v>3.9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13622-2021</t>
        </is>
      </c>
      <c r="B107" s="1" t="n">
        <v>44274</v>
      </c>
      <c r="C107" s="1" t="n">
        <v>45762</v>
      </c>
      <c r="D107" t="inlineStr">
        <is>
          <t>VÄSTMANLANDS LÄN</t>
        </is>
      </c>
      <c r="E107" t="inlineStr">
        <is>
          <t>NORBERG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14405-2021</t>
        </is>
      </c>
      <c r="B108" s="1" t="n">
        <v>44279</v>
      </c>
      <c r="C108" s="1" t="n">
        <v>45762</v>
      </c>
      <c r="D108" t="inlineStr">
        <is>
          <t>VÄSTMANLANDS LÄN</t>
        </is>
      </c>
      <c r="E108" t="inlineStr">
        <is>
          <t>NORBERG</t>
        </is>
      </c>
      <c r="F108" t="inlineStr">
        <is>
          <t>Övriga Aktiebolag</t>
        </is>
      </c>
      <c r="G108" t="n">
        <v>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17103-2021</t>
        </is>
      </c>
      <c r="B109" s="1" t="n">
        <v>44298</v>
      </c>
      <c r="C109" s="1" t="n">
        <v>45762</v>
      </c>
      <c r="D109" t="inlineStr">
        <is>
          <t>VÄSTMANLANDS LÄN</t>
        </is>
      </c>
      <c r="E109" t="inlineStr">
        <is>
          <t>NORBERG</t>
        </is>
      </c>
      <c r="F109" t="inlineStr">
        <is>
          <t>Övriga Aktiebolag</t>
        </is>
      </c>
      <c r="G109" t="n">
        <v>1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19030-2021</t>
        </is>
      </c>
      <c r="B110" s="1" t="n">
        <v>44308</v>
      </c>
      <c r="C110" s="1" t="n">
        <v>45762</v>
      </c>
      <c r="D110" t="inlineStr">
        <is>
          <t>VÄSTMANLANDS LÄN</t>
        </is>
      </c>
      <c r="E110" t="inlineStr">
        <is>
          <t>NORBERG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25364-2021</t>
        </is>
      </c>
      <c r="B111" s="1" t="n">
        <v>44342</v>
      </c>
      <c r="C111" s="1" t="n">
        <v>45762</v>
      </c>
      <c r="D111" t="inlineStr">
        <is>
          <t>VÄSTMANLANDS LÄN</t>
        </is>
      </c>
      <c r="E111" t="inlineStr">
        <is>
          <t>NORBERG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26444-2021</t>
        </is>
      </c>
      <c r="B112" s="1" t="n">
        <v>44348</v>
      </c>
      <c r="C112" s="1" t="n">
        <v>45762</v>
      </c>
      <c r="D112" t="inlineStr">
        <is>
          <t>VÄSTMANLANDS LÄN</t>
        </is>
      </c>
      <c r="E112" t="inlineStr">
        <is>
          <t>NORBERG</t>
        </is>
      </c>
      <c r="F112" t="inlineStr">
        <is>
          <t>Övriga Aktiebolag</t>
        </is>
      </c>
      <c r="G112" t="n">
        <v>1.6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26910-2021</t>
        </is>
      </c>
      <c r="B113" s="1" t="n">
        <v>44349</v>
      </c>
      <c r="C113" s="1" t="n">
        <v>45762</v>
      </c>
      <c r="D113" t="inlineStr">
        <is>
          <t>VÄSTMANLANDS LÄN</t>
        </is>
      </c>
      <c r="E113" t="inlineStr">
        <is>
          <t>NORBERG</t>
        </is>
      </c>
      <c r="G113" t="n">
        <v>0.3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26891-2021</t>
        </is>
      </c>
      <c r="B114" s="1" t="n">
        <v>44349</v>
      </c>
      <c r="C114" s="1" t="n">
        <v>45762</v>
      </c>
      <c r="D114" t="inlineStr">
        <is>
          <t>VÄSTMANLANDS LÄN</t>
        </is>
      </c>
      <c r="E114" t="inlineStr">
        <is>
          <t>NORBERG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26899-2021</t>
        </is>
      </c>
      <c r="B115" s="1" t="n">
        <v>44349</v>
      </c>
      <c r="C115" s="1" t="n">
        <v>45762</v>
      </c>
      <c r="D115" t="inlineStr">
        <is>
          <t>VÄSTMANLANDS LÄN</t>
        </is>
      </c>
      <c r="E115" t="inlineStr">
        <is>
          <t>NORBERG</t>
        </is>
      </c>
      <c r="G115" t="n">
        <v>4.7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28458-2021</t>
        </is>
      </c>
      <c r="B116" s="1" t="n">
        <v>44356</v>
      </c>
      <c r="C116" s="1" t="n">
        <v>45762</v>
      </c>
      <c r="D116" t="inlineStr">
        <is>
          <t>VÄSTMANLANDS LÄN</t>
        </is>
      </c>
      <c r="E116" t="inlineStr">
        <is>
          <t>NORBERG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29244-2021</t>
        </is>
      </c>
      <c r="B117" s="1" t="n">
        <v>44360</v>
      </c>
      <c r="C117" s="1" t="n">
        <v>45762</v>
      </c>
      <c r="D117" t="inlineStr">
        <is>
          <t>VÄSTMANLANDS LÄN</t>
        </is>
      </c>
      <c r="E117" t="inlineStr">
        <is>
          <t>NORBERG</t>
        </is>
      </c>
      <c r="F117" t="inlineStr">
        <is>
          <t>Kyrkan</t>
        </is>
      </c>
      <c r="G117" t="n">
        <v>0.8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31257-2021</t>
        </is>
      </c>
      <c r="B118" s="1" t="n">
        <v>44368</v>
      </c>
      <c r="C118" s="1" t="n">
        <v>45762</v>
      </c>
      <c r="D118" t="inlineStr">
        <is>
          <t>VÄSTMANLANDS LÄN</t>
        </is>
      </c>
      <c r="E118" t="inlineStr">
        <is>
          <t>NORBERG</t>
        </is>
      </c>
      <c r="F118" t="inlineStr">
        <is>
          <t>Sveaskog</t>
        </is>
      </c>
      <c r="G118" t="n">
        <v>1.5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35656-2021</t>
        </is>
      </c>
      <c r="B119" s="1" t="n">
        <v>44386</v>
      </c>
      <c r="C119" s="1" t="n">
        <v>45762</v>
      </c>
      <c r="D119" t="inlineStr">
        <is>
          <t>VÄSTMANLANDS LÄN</t>
        </is>
      </c>
      <c r="E119" t="inlineStr">
        <is>
          <t>NORBERG</t>
        </is>
      </c>
      <c r="F119" t="inlineStr">
        <is>
          <t>Sveaskog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41518-2021</t>
        </is>
      </c>
      <c r="B120" s="1" t="n">
        <v>44425</v>
      </c>
      <c r="C120" s="1" t="n">
        <v>45762</v>
      </c>
      <c r="D120" t="inlineStr">
        <is>
          <t>VÄSTMANLANDS LÄN</t>
        </is>
      </c>
      <c r="E120" t="inlineStr">
        <is>
          <t>NORBERG</t>
        </is>
      </c>
      <c r="G120" t="n">
        <v>11.5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42699-2021</t>
        </is>
      </c>
      <c r="B121" s="1" t="n">
        <v>44428</v>
      </c>
      <c r="C121" s="1" t="n">
        <v>45762</v>
      </c>
      <c r="D121" t="inlineStr">
        <is>
          <t>VÄSTMANLANDS LÄN</t>
        </is>
      </c>
      <c r="E121" t="inlineStr">
        <is>
          <t>NORBERG</t>
        </is>
      </c>
      <c r="F121" t="inlineStr">
        <is>
          <t>Sveaskog</t>
        </is>
      </c>
      <c r="G121" t="n">
        <v>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45929-2021</t>
        </is>
      </c>
      <c r="B122" s="1" t="n">
        <v>44441</v>
      </c>
      <c r="C122" s="1" t="n">
        <v>45762</v>
      </c>
      <c r="D122" t="inlineStr">
        <is>
          <t>VÄSTMANLANDS LÄN</t>
        </is>
      </c>
      <c r="E122" t="inlineStr">
        <is>
          <t>NORBERG</t>
        </is>
      </c>
      <c r="G122" t="n">
        <v>1.2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45934-2021</t>
        </is>
      </c>
      <c r="B123" s="1" t="n">
        <v>44441</v>
      </c>
      <c r="C123" s="1" t="n">
        <v>45762</v>
      </c>
      <c r="D123" t="inlineStr">
        <is>
          <t>VÄSTMANLANDS LÄN</t>
        </is>
      </c>
      <c r="E123" t="inlineStr">
        <is>
          <t>NORBERG</t>
        </is>
      </c>
      <c r="G123" t="n">
        <v>0.3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48143-2021</t>
        </is>
      </c>
      <c r="B124" s="1" t="n">
        <v>44449</v>
      </c>
      <c r="C124" s="1" t="n">
        <v>45762</v>
      </c>
      <c r="D124" t="inlineStr">
        <is>
          <t>VÄSTMANLANDS LÄN</t>
        </is>
      </c>
      <c r="E124" t="inlineStr">
        <is>
          <t>NORBERG</t>
        </is>
      </c>
      <c r="F124" t="inlineStr">
        <is>
          <t>Bergvik skog väst AB</t>
        </is>
      </c>
      <c r="G124" t="n">
        <v>2.3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48544-2021</t>
        </is>
      </c>
      <c r="B125" s="1" t="n">
        <v>44452</v>
      </c>
      <c r="C125" s="1" t="n">
        <v>45762</v>
      </c>
      <c r="D125" t="inlineStr">
        <is>
          <t>VÄSTMANLANDS LÄN</t>
        </is>
      </c>
      <c r="E125" t="inlineStr">
        <is>
          <t>NORBERG</t>
        </is>
      </c>
      <c r="G125" t="n">
        <v>0.5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53297-2021</t>
        </is>
      </c>
      <c r="B126" s="1" t="n">
        <v>44467</v>
      </c>
      <c r="C126" s="1" t="n">
        <v>45762</v>
      </c>
      <c r="D126" t="inlineStr">
        <is>
          <t>VÄSTMANLANDS LÄN</t>
        </is>
      </c>
      <c r="E126" t="inlineStr">
        <is>
          <t>NORBERG</t>
        </is>
      </c>
      <c r="G126" t="n">
        <v>3.6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54864-2021</t>
        </is>
      </c>
      <c r="B127" s="1" t="n">
        <v>44473</v>
      </c>
      <c r="C127" s="1" t="n">
        <v>45762</v>
      </c>
      <c r="D127" t="inlineStr">
        <is>
          <t>VÄSTMANLANDS LÄN</t>
        </is>
      </c>
      <c r="E127" t="inlineStr">
        <is>
          <t>NORBERG</t>
        </is>
      </c>
      <c r="G127" t="n">
        <v>2.9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56940-2021</t>
        </is>
      </c>
      <c r="B128" s="1" t="n">
        <v>44480</v>
      </c>
      <c r="C128" s="1" t="n">
        <v>45762</v>
      </c>
      <c r="D128" t="inlineStr">
        <is>
          <t>VÄSTMANLANDS LÄN</t>
        </is>
      </c>
      <c r="E128" t="inlineStr">
        <is>
          <t>NORBERG</t>
        </is>
      </c>
      <c r="G128" t="n">
        <v>1.6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56936-2021</t>
        </is>
      </c>
      <c r="B129" s="1" t="n">
        <v>44480</v>
      </c>
      <c r="C129" s="1" t="n">
        <v>45762</v>
      </c>
      <c r="D129" t="inlineStr">
        <is>
          <t>VÄSTMANLANDS LÄN</t>
        </is>
      </c>
      <c r="E129" t="inlineStr">
        <is>
          <t>NORBERG</t>
        </is>
      </c>
      <c r="G129" t="n">
        <v>2.4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56929-2021</t>
        </is>
      </c>
      <c r="B130" s="1" t="n">
        <v>44480</v>
      </c>
      <c r="C130" s="1" t="n">
        <v>45762</v>
      </c>
      <c r="D130" t="inlineStr">
        <is>
          <t>VÄSTMANLANDS LÄN</t>
        </is>
      </c>
      <c r="E130" t="inlineStr">
        <is>
          <t>NORBERG</t>
        </is>
      </c>
      <c r="G130" t="n">
        <v>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58514-2021</t>
        </is>
      </c>
      <c r="B131" s="1" t="n">
        <v>44488</v>
      </c>
      <c r="C131" s="1" t="n">
        <v>45762</v>
      </c>
      <c r="D131" t="inlineStr">
        <is>
          <t>VÄSTMANLANDS LÄN</t>
        </is>
      </c>
      <c r="E131" t="inlineStr">
        <is>
          <t>NORBERG</t>
        </is>
      </c>
      <c r="G131" t="n">
        <v>3.5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67361-2021</t>
        </is>
      </c>
      <c r="B132" s="1" t="n">
        <v>44523</v>
      </c>
      <c r="C132" s="1" t="n">
        <v>45762</v>
      </c>
      <c r="D132" t="inlineStr">
        <is>
          <t>VÄSTMANLANDS LÄN</t>
        </is>
      </c>
      <c r="E132" t="inlineStr">
        <is>
          <t>NORBERG</t>
        </is>
      </c>
      <c r="G132" t="n">
        <v>2.8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67356-2021</t>
        </is>
      </c>
      <c r="B133" s="1" t="n">
        <v>44523</v>
      </c>
      <c r="C133" s="1" t="n">
        <v>45762</v>
      </c>
      <c r="D133" t="inlineStr">
        <is>
          <t>VÄSTMANLANDS LÄN</t>
        </is>
      </c>
      <c r="E133" t="inlineStr">
        <is>
          <t>NORBERG</t>
        </is>
      </c>
      <c r="G133" t="n">
        <v>1.3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69758-2021</t>
        </is>
      </c>
      <c r="B134" s="1" t="n">
        <v>44532</v>
      </c>
      <c r="C134" s="1" t="n">
        <v>45762</v>
      </c>
      <c r="D134" t="inlineStr">
        <is>
          <t>VÄSTMANLANDS LÄN</t>
        </is>
      </c>
      <c r="E134" t="inlineStr">
        <is>
          <t>NORBERG</t>
        </is>
      </c>
      <c r="G134" t="n">
        <v>3.4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70661-2021</t>
        </is>
      </c>
      <c r="B135" s="1" t="n">
        <v>44537</v>
      </c>
      <c r="C135" s="1" t="n">
        <v>45762</v>
      </c>
      <c r="D135" t="inlineStr">
        <is>
          <t>VÄSTMANLANDS LÄN</t>
        </is>
      </c>
      <c r="E135" t="inlineStr">
        <is>
          <t>NORBERG</t>
        </is>
      </c>
      <c r="G135" t="n">
        <v>4.8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73073-2021</t>
        </is>
      </c>
      <c r="B136" s="1" t="n">
        <v>44550</v>
      </c>
      <c r="C136" s="1" t="n">
        <v>45762</v>
      </c>
      <c r="D136" t="inlineStr">
        <is>
          <t>VÄSTMANLANDS LÄN</t>
        </is>
      </c>
      <c r="E136" t="inlineStr">
        <is>
          <t>NORBERG</t>
        </is>
      </c>
      <c r="F136" t="inlineStr">
        <is>
          <t>Övriga Aktiebolag</t>
        </is>
      </c>
      <c r="G136" t="n">
        <v>1.8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73083-2021</t>
        </is>
      </c>
      <c r="B137" s="1" t="n">
        <v>44550</v>
      </c>
      <c r="C137" s="1" t="n">
        <v>45762</v>
      </c>
      <c r="D137" t="inlineStr">
        <is>
          <t>VÄSTMANLANDS LÄN</t>
        </is>
      </c>
      <c r="E137" t="inlineStr">
        <is>
          <t>NORBERG</t>
        </is>
      </c>
      <c r="F137" t="inlineStr">
        <is>
          <t>Bergvik skog väst AB</t>
        </is>
      </c>
      <c r="G137" t="n">
        <v>10.1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73797-2021</t>
        </is>
      </c>
      <c r="B138" s="1" t="n">
        <v>44552</v>
      </c>
      <c r="C138" s="1" t="n">
        <v>45762</v>
      </c>
      <c r="D138" t="inlineStr">
        <is>
          <t>VÄSTMANLANDS LÄN</t>
        </is>
      </c>
      <c r="E138" t="inlineStr">
        <is>
          <t>NORBERG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2312-2022</t>
        </is>
      </c>
      <c r="B139" s="1" t="n">
        <v>44578</v>
      </c>
      <c r="C139" s="1" t="n">
        <v>45762</v>
      </c>
      <c r="D139" t="inlineStr">
        <is>
          <t>VÄSTMANLANDS LÄN</t>
        </is>
      </c>
      <c r="E139" t="inlineStr">
        <is>
          <t>NORBERG</t>
        </is>
      </c>
      <c r="G139" t="n">
        <v>0.4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6353-2022</t>
        </is>
      </c>
      <c r="B140" s="1" t="n">
        <v>44600</v>
      </c>
      <c r="C140" s="1" t="n">
        <v>45762</v>
      </c>
      <c r="D140" t="inlineStr">
        <is>
          <t>VÄSTMANLANDS LÄN</t>
        </is>
      </c>
      <c r="E140" t="inlineStr">
        <is>
          <t>NORBERG</t>
        </is>
      </c>
      <c r="G140" t="n">
        <v>1.1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9875-2022</t>
        </is>
      </c>
      <c r="B141" s="1" t="n">
        <v>44620</v>
      </c>
      <c r="C141" s="1" t="n">
        <v>45762</v>
      </c>
      <c r="D141" t="inlineStr">
        <is>
          <t>VÄSTMANLANDS LÄN</t>
        </is>
      </c>
      <c r="E141" t="inlineStr">
        <is>
          <t>NORBERG</t>
        </is>
      </c>
      <c r="G141" t="n">
        <v>1.7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11099-2022</t>
        </is>
      </c>
      <c r="B142" s="1" t="n">
        <v>44628</v>
      </c>
      <c r="C142" s="1" t="n">
        <v>45762</v>
      </c>
      <c r="D142" t="inlineStr">
        <is>
          <t>VÄSTMANLANDS LÄN</t>
        </is>
      </c>
      <c r="E142" t="inlineStr">
        <is>
          <t>NORBERG</t>
        </is>
      </c>
      <c r="G142" t="n">
        <v>2.4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12233-2022</t>
        </is>
      </c>
      <c r="B143" s="1" t="n">
        <v>44635</v>
      </c>
      <c r="C143" s="1" t="n">
        <v>45762</v>
      </c>
      <c r="D143" t="inlineStr">
        <is>
          <t>VÄSTMANLANDS LÄN</t>
        </is>
      </c>
      <c r="E143" t="inlineStr">
        <is>
          <t>NORBERG</t>
        </is>
      </c>
      <c r="G143" t="n">
        <v>0.4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15427-2022</t>
        </is>
      </c>
      <c r="B144" s="1" t="n">
        <v>44659</v>
      </c>
      <c r="C144" s="1" t="n">
        <v>45762</v>
      </c>
      <c r="D144" t="inlineStr">
        <is>
          <t>VÄSTMANLANDS LÄN</t>
        </is>
      </c>
      <c r="E144" t="inlineStr">
        <is>
          <t>NORBERG</t>
        </is>
      </c>
      <c r="G144" t="n">
        <v>3.2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18326-2022</t>
        </is>
      </c>
      <c r="B145" s="1" t="n">
        <v>44685</v>
      </c>
      <c r="C145" s="1" t="n">
        <v>45762</v>
      </c>
      <c r="D145" t="inlineStr">
        <is>
          <t>VÄSTMANLANDS LÄN</t>
        </is>
      </c>
      <c r="E145" t="inlineStr">
        <is>
          <t>NORBERG</t>
        </is>
      </c>
      <c r="G145" t="n">
        <v>6.8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18673-2022</t>
        </is>
      </c>
      <c r="B146" s="1" t="n">
        <v>44687</v>
      </c>
      <c r="C146" s="1" t="n">
        <v>45762</v>
      </c>
      <c r="D146" t="inlineStr">
        <is>
          <t>VÄSTMANLANDS LÄN</t>
        </is>
      </c>
      <c r="E146" t="inlineStr">
        <is>
          <t>NORBERG</t>
        </is>
      </c>
      <c r="G146" t="n">
        <v>6.6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19076-2022</t>
        </is>
      </c>
      <c r="B147" s="1" t="n">
        <v>44691</v>
      </c>
      <c r="C147" s="1" t="n">
        <v>45762</v>
      </c>
      <c r="D147" t="inlineStr">
        <is>
          <t>VÄSTMANLANDS LÄN</t>
        </is>
      </c>
      <c r="E147" t="inlineStr">
        <is>
          <t>NORBERG</t>
        </is>
      </c>
      <c r="F147" t="inlineStr">
        <is>
          <t>Övriga Aktiebolag</t>
        </is>
      </c>
      <c r="G147" t="n">
        <v>5.6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19075-2022</t>
        </is>
      </c>
      <c r="B148" s="1" t="n">
        <v>44691</v>
      </c>
      <c r="C148" s="1" t="n">
        <v>45762</v>
      </c>
      <c r="D148" t="inlineStr">
        <is>
          <t>VÄSTMANLANDS LÄN</t>
        </is>
      </c>
      <c r="E148" t="inlineStr">
        <is>
          <t>NORBERG</t>
        </is>
      </c>
      <c r="F148" t="inlineStr">
        <is>
          <t>Övriga Aktiebolag</t>
        </is>
      </c>
      <c r="G148" t="n">
        <v>4.1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19073-2022</t>
        </is>
      </c>
      <c r="B149" s="1" t="n">
        <v>44691</v>
      </c>
      <c r="C149" s="1" t="n">
        <v>45762</v>
      </c>
      <c r="D149" t="inlineStr">
        <is>
          <t>VÄSTMANLANDS LÄN</t>
        </is>
      </c>
      <c r="E149" t="inlineStr">
        <is>
          <t>NORBERG</t>
        </is>
      </c>
      <c r="F149" t="inlineStr">
        <is>
          <t>Övriga Aktiebolag</t>
        </is>
      </c>
      <c r="G149" t="n">
        <v>4.2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19636-2022</t>
        </is>
      </c>
      <c r="B150" s="1" t="n">
        <v>44694</v>
      </c>
      <c r="C150" s="1" t="n">
        <v>45762</v>
      </c>
      <c r="D150" t="inlineStr">
        <is>
          <t>VÄSTMANLANDS LÄN</t>
        </is>
      </c>
      <c r="E150" t="inlineStr">
        <is>
          <t>NORBERG</t>
        </is>
      </c>
      <c r="F150" t="inlineStr">
        <is>
          <t>Bergvik skog väst AB</t>
        </is>
      </c>
      <c r="G150" t="n">
        <v>10.1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20118-2022</t>
        </is>
      </c>
      <c r="B151" s="1" t="n">
        <v>44698</v>
      </c>
      <c r="C151" s="1" t="n">
        <v>45762</v>
      </c>
      <c r="D151" t="inlineStr">
        <is>
          <t>VÄSTMANLANDS LÄN</t>
        </is>
      </c>
      <c r="E151" t="inlineStr">
        <is>
          <t>NORBERG</t>
        </is>
      </c>
      <c r="F151" t="inlineStr">
        <is>
          <t>Bergvik skog väst AB</t>
        </is>
      </c>
      <c r="G151" t="n">
        <v>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20567-2022</t>
        </is>
      </c>
      <c r="B152" s="1" t="n">
        <v>44700</v>
      </c>
      <c r="C152" s="1" t="n">
        <v>45762</v>
      </c>
      <c r="D152" t="inlineStr">
        <is>
          <t>VÄSTMANLANDS LÄN</t>
        </is>
      </c>
      <c r="E152" t="inlineStr">
        <is>
          <t>NORBERG</t>
        </is>
      </c>
      <c r="F152" t="inlineStr">
        <is>
          <t>Bergvik skog väst AB</t>
        </is>
      </c>
      <c r="G152" t="n">
        <v>3.8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23009-2022</t>
        </is>
      </c>
      <c r="B153" s="1" t="n">
        <v>44719</v>
      </c>
      <c r="C153" s="1" t="n">
        <v>45762</v>
      </c>
      <c r="D153" t="inlineStr">
        <is>
          <t>VÄSTMANLANDS LÄN</t>
        </is>
      </c>
      <c r="E153" t="inlineStr">
        <is>
          <t>NORBERG</t>
        </is>
      </c>
      <c r="F153" t="inlineStr">
        <is>
          <t>Bergvik skog väst AB</t>
        </is>
      </c>
      <c r="G153" t="n">
        <v>18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23043-2022</t>
        </is>
      </c>
      <c r="B154" s="1" t="n">
        <v>44719</v>
      </c>
      <c r="C154" s="1" t="n">
        <v>45762</v>
      </c>
      <c r="D154" t="inlineStr">
        <is>
          <t>VÄSTMANLANDS LÄN</t>
        </is>
      </c>
      <c r="E154" t="inlineStr">
        <is>
          <t>NORBERG</t>
        </is>
      </c>
      <c r="G154" t="n">
        <v>1.3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24540-2022</t>
        </is>
      </c>
      <c r="B155" s="1" t="n">
        <v>44727</v>
      </c>
      <c r="C155" s="1" t="n">
        <v>45762</v>
      </c>
      <c r="D155" t="inlineStr">
        <is>
          <t>VÄSTMANLANDS LÄN</t>
        </is>
      </c>
      <c r="E155" t="inlineStr">
        <is>
          <t>NORBERG</t>
        </is>
      </c>
      <c r="F155" t="inlineStr">
        <is>
          <t>Bergvik skog väst AB</t>
        </is>
      </c>
      <c r="G155" t="n">
        <v>6.7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35684-2022</t>
        </is>
      </c>
      <c r="B156" s="1" t="n">
        <v>44799</v>
      </c>
      <c r="C156" s="1" t="n">
        <v>45762</v>
      </c>
      <c r="D156" t="inlineStr">
        <is>
          <t>VÄSTMANLANDS LÄN</t>
        </is>
      </c>
      <c r="E156" t="inlineStr">
        <is>
          <t>NORBERG</t>
        </is>
      </c>
      <c r="F156" t="inlineStr">
        <is>
          <t>Sveaskog</t>
        </is>
      </c>
      <c r="G156" t="n">
        <v>6.8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36838-2022</t>
        </is>
      </c>
      <c r="B157" s="1" t="n">
        <v>44805</v>
      </c>
      <c r="C157" s="1" t="n">
        <v>45762</v>
      </c>
      <c r="D157" t="inlineStr">
        <is>
          <t>VÄSTMANLANDS LÄN</t>
        </is>
      </c>
      <c r="E157" t="inlineStr">
        <is>
          <t>NORBERG</t>
        </is>
      </c>
      <c r="F157" t="inlineStr">
        <is>
          <t>Sveaskog</t>
        </is>
      </c>
      <c r="G157" t="n">
        <v>16.1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36836-2022</t>
        </is>
      </c>
      <c r="B158" s="1" t="n">
        <v>44805</v>
      </c>
      <c r="C158" s="1" t="n">
        <v>45762</v>
      </c>
      <c r="D158" t="inlineStr">
        <is>
          <t>VÄSTMANLANDS LÄN</t>
        </is>
      </c>
      <c r="E158" t="inlineStr">
        <is>
          <t>NORBERG</t>
        </is>
      </c>
      <c r="G158" t="n">
        <v>5.9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36839-2022</t>
        </is>
      </c>
      <c r="B159" s="1" t="n">
        <v>44805</v>
      </c>
      <c r="C159" s="1" t="n">
        <v>45762</v>
      </c>
      <c r="D159" t="inlineStr">
        <is>
          <t>VÄSTMANLANDS LÄN</t>
        </is>
      </c>
      <c r="E159" t="inlineStr">
        <is>
          <t>NORBERG</t>
        </is>
      </c>
      <c r="F159" t="inlineStr">
        <is>
          <t>Sveaskog</t>
        </is>
      </c>
      <c r="G159" t="n">
        <v>2.8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38725-2022</t>
        </is>
      </c>
      <c r="B160" s="1" t="n">
        <v>44815</v>
      </c>
      <c r="C160" s="1" t="n">
        <v>45762</v>
      </c>
      <c r="D160" t="inlineStr">
        <is>
          <t>VÄSTMANLANDS LÄN</t>
        </is>
      </c>
      <c r="E160" t="inlineStr">
        <is>
          <t>NORBERG</t>
        </is>
      </c>
      <c r="F160" t="inlineStr">
        <is>
          <t>Sveaskog</t>
        </is>
      </c>
      <c r="G160" t="n">
        <v>2.3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38905-2022</t>
        </is>
      </c>
      <c r="B161" s="1" t="n">
        <v>44816</v>
      </c>
      <c r="C161" s="1" t="n">
        <v>45762</v>
      </c>
      <c r="D161" t="inlineStr">
        <is>
          <t>VÄSTMANLANDS LÄN</t>
        </is>
      </c>
      <c r="E161" t="inlineStr">
        <is>
          <t>NORBERG</t>
        </is>
      </c>
      <c r="F161" t="inlineStr">
        <is>
          <t>Sveaskog</t>
        </is>
      </c>
      <c r="G161" t="n">
        <v>20.5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38906-2022</t>
        </is>
      </c>
      <c r="B162" s="1" t="n">
        <v>44816</v>
      </c>
      <c r="C162" s="1" t="n">
        <v>45762</v>
      </c>
      <c r="D162" t="inlineStr">
        <is>
          <t>VÄSTMANLANDS LÄN</t>
        </is>
      </c>
      <c r="E162" t="inlineStr">
        <is>
          <t>NORBERG</t>
        </is>
      </c>
      <c r="F162" t="inlineStr">
        <is>
          <t>Sveaskog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38903-2022</t>
        </is>
      </c>
      <c r="B163" s="1" t="n">
        <v>44816</v>
      </c>
      <c r="C163" s="1" t="n">
        <v>45762</v>
      </c>
      <c r="D163" t="inlineStr">
        <is>
          <t>VÄSTMANLANDS LÄN</t>
        </is>
      </c>
      <c r="E163" t="inlineStr">
        <is>
          <t>NORBERG</t>
        </is>
      </c>
      <c r="F163" t="inlineStr">
        <is>
          <t>Sveaskog</t>
        </is>
      </c>
      <c r="G163" t="n">
        <v>1.6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41739-2022</t>
        </is>
      </c>
      <c r="B164" s="1" t="n">
        <v>44827</v>
      </c>
      <c r="C164" s="1" t="n">
        <v>45762</v>
      </c>
      <c r="D164" t="inlineStr">
        <is>
          <t>VÄSTMANLANDS LÄN</t>
        </is>
      </c>
      <c r="E164" t="inlineStr">
        <is>
          <t>NORBERG</t>
        </is>
      </c>
      <c r="G164" t="n">
        <v>4.9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41744-2022</t>
        </is>
      </c>
      <c r="B165" s="1" t="n">
        <v>44827</v>
      </c>
      <c r="C165" s="1" t="n">
        <v>45762</v>
      </c>
      <c r="D165" t="inlineStr">
        <is>
          <t>VÄSTMANLANDS LÄN</t>
        </is>
      </c>
      <c r="E165" t="inlineStr">
        <is>
          <t>NORBERG</t>
        </is>
      </c>
      <c r="G165" t="n">
        <v>4.6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41750-2022</t>
        </is>
      </c>
      <c r="B166" s="1" t="n">
        <v>44827</v>
      </c>
      <c r="C166" s="1" t="n">
        <v>45762</v>
      </c>
      <c r="D166" t="inlineStr">
        <is>
          <t>VÄSTMANLANDS LÄN</t>
        </is>
      </c>
      <c r="E166" t="inlineStr">
        <is>
          <t>NORBERG</t>
        </is>
      </c>
      <c r="G166" t="n">
        <v>1.6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41742-2022</t>
        </is>
      </c>
      <c r="B167" s="1" t="n">
        <v>44827</v>
      </c>
      <c r="C167" s="1" t="n">
        <v>45762</v>
      </c>
      <c r="D167" t="inlineStr">
        <is>
          <t>VÄSTMANLANDS LÄN</t>
        </is>
      </c>
      <c r="E167" t="inlineStr">
        <is>
          <t>NORBERG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41748-2022</t>
        </is>
      </c>
      <c r="B168" s="1" t="n">
        <v>44827</v>
      </c>
      <c r="C168" s="1" t="n">
        <v>45762</v>
      </c>
      <c r="D168" t="inlineStr">
        <is>
          <t>VÄSTMANLANDS LÄN</t>
        </is>
      </c>
      <c r="E168" t="inlineStr">
        <is>
          <t>NORBERG</t>
        </is>
      </c>
      <c r="G168" t="n">
        <v>6.8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42505-2022</t>
        </is>
      </c>
      <c r="B169" s="1" t="n">
        <v>44831</v>
      </c>
      <c r="C169" s="1" t="n">
        <v>45762</v>
      </c>
      <c r="D169" t="inlineStr">
        <is>
          <t>VÄSTMANLANDS LÄN</t>
        </is>
      </c>
      <c r="E169" t="inlineStr">
        <is>
          <t>NORBERG</t>
        </is>
      </c>
      <c r="F169" t="inlineStr">
        <is>
          <t>Sveaskog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42504-2022</t>
        </is>
      </c>
      <c r="B170" s="1" t="n">
        <v>44831</v>
      </c>
      <c r="C170" s="1" t="n">
        <v>45762</v>
      </c>
      <c r="D170" t="inlineStr">
        <is>
          <t>VÄSTMANLANDS LÄN</t>
        </is>
      </c>
      <c r="E170" t="inlineStr">
        <is>
          <t>NORBERG</t>
        </is>
      </c>
      <c r="F170" t="inlineStr">
        <is>
          <t>Sveaskog</t>
        </is>
      </c>
      <c r="G170" t="n">
        <v>0.8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43073-2022</t>
        </is>
      </c>
      <c r="B171" s="1" t="n">
        <v>44833</v>
      </c>
      <c r="C171" s="1" t="n">
        <v>45762</v>
      </c>
      <c r="D171" t="inlineStr">
        <is>
          <t>VÄSTMANLANDS LÄN</t>
        </is>
      </c>
      <c r="E171" t="inlineStr">
        <is>
          <t>NORBERG</t>
        </is>
      </c>
      <c r="G171" t="n">
        <v>2.9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43075-2022</t>
        </is>
      </c>
      <c r="B172" s="1" t="n">
        <v>44833</v>
      </c>
      <c r="C172" s="1" t="n">
        <v>45762</v>
      </c>
      <c r="D172" t="inlineStr">
        <is>
          <t>VÄSTMANLANDS LÄN</t>
        </is>
      </c>
      <c r="E172" t="inlineStr">
        <is>
          <t>NORBERG</t>
        </is>
      </c>
      <c r="G172" t="n">
        <v>3.7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43072-2022</t>
        </is>
      </c>
      <c r="B173" s="1" t="n">
        <v>44833</v>
      </c>
      <c r="C173" s="1" t="n">
        <v>45762</v>
      </c>
      <c r="D173" t="inlineStr">
        <is>
          <t>VÄSTMANLANDS LÄN</t>
        </is>
      </c>
      <c r="E173" t="inlineStr">
        <is>
          <t>NORBERG</t>
        </is>
      </c>
      <c r="G173" t="n">
        <v>4.7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43076-2022</t>
        </is>
      </c>
      <c r="B174" s="1" t="n">
        <v>44833</v>
      </c>
      <c r="C174" s="1" t="n">
        <v>45762</v>
      </c>
      <c r="D174" t="inlineStr">
        <is>
          <t>VÄSTMANLANDS LÄN</t>
        </is>
      </c>
      <c r="E174" t="inlineStr">
        <is>
          <t>NORBERG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44016-2022</t>
        </is>
      </c>
      <c r="B175" s="1" t="n">
        <v>44838</v>
      </c>
      <c r="C175" s="1" t="n">
        <v>45762</v>
      </c>
      <c r="D175" t="inlineStr">
        <is>
          <t>VÄSTMANLANDS LÄN</t>
        </is>
      </c>
      <c r="E175" t="inlineStr">
        <is>
          <t>NORBERG</t>
        </is>
      </c>
      <c r="F175" t="inlineStr">
        <is>
          <t>Sveaskog</t>
        </is>
      </c>
      <c r="G175" t="n">
        <v>7.2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44015-2022</t>
        </is>
      </c>
      <c r="B176" s="1" t="n">
        <v>44838</v>
      </c>
      <c r="C176" s="1" t="n">
        <v>45762</v>
      </c>
      <c r="D176" t="inlineStr">
        <is>
          <t>VÄSTMANLANDS LÄN</t>
        </is>
      </c>
      <c r="E176" t="inlineStr">
        <is>
          <t>NORBERG</t>
        </is>
      </c>
      <c r="F176" t="inlineStr">
        <is>
          <t>Sveaskog</t>
        </is>
      </c>
      <c r="G176" t="n">
        <v>2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45213-2022</t>
        </is>
      </c>
      <c r="B177" s="1" t="n">
        <v>44844</v>
      </c>
      <c r="C177" s="1" t="n">
        <v>45762</v>
      </c>
      <c r="D177" t="inlineStr">
        <is>
          <t>VÄSTMANLANDS LÄN</t>
        </is>
      </c>
      <c r="E177" t="inlineStr">
        <is>
          <t>NORBERG</t>
        </is>
      </c>
      <c r="G177" t="n">
        <v>2.5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45738-2022</t>
        </is>
      </c>
      <c r="B178" s="1" t="n">
        <v>44846</v>
      </c>
      <c r="C178" s="1" t="n">
        <v>45762</v>
      </c>
      <c r="D178" t="inlineStr">
        <is>
          <t>VÄSTMANLANDS LÄN</t>
        </is>
      </c>
      <c r="E178" t="inlineStr">
        <is>
          <t>NORBERG</t>
        </is>
      </c>
      <c r="F178" t="inlineStr">
        <is>
          <t>Sveaskog</t>
        </is>
      </c>
      <c r="G178" t="n">
        <v>1.4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45740-2022</t>
        </is>
      </c>
      <c r="B179" s="1" t="n">
        <v>44846</v>
      </c>
      <c r="C179" s="1" t="n">
        <v>45762</v>
      </c>
      <c r="D179" t="inlineStr">
        <is>
          <t>VÄSTMANLANDS LÄN</t>
        </is>
      </c>
      <c r="E179" t="inlineStr">
        <is>
          <t>NORBERG</t>
        </is>
      </c>
      <c r="F179" t="inlineStr">
        <is>
          <t>Sveaskog</t>
        </is>
      </c>
      <c r="G179" t="n">
        <v>2.4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45737-2022</t>
        </is>
      </c>
      <c r="B180" s="1" t="n">
        <v>44846</v>
      </c>
      <c r="C180" s="1" t="n">
        <v>45762</v>
      </c>
      <c r="D180" t="inlineStr">
        <is>
          <t>VÄSTMANLANDS LÄN</t>
        </is>
      </c>
      <c r="E180" t="inlineStr">
        <is>
          <t>NORBERG</t>
        </is>
      </c>
      <c r="F180" t="inlineStr">
        <is>
          <t>Sveaskog</t>
        </is>
      </c>
      <c r="G180" t="n">
        <v>2.9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46369-2022</t>
        </is>
      </c>
      <c r="B181" s="1" t="n">
        <v>44848</v>
      </c>
      <c r="C181" s="1" t="n">
        <v>45762</v>
      </c>
      <c r="D181" t="inlineStr">
        <is>
          <t>VÄSTMANLANDS LÄN</t>
        </is>
      </c>
      <c r="E181" t="inlineStr">
        <is>
          <t>NORBERG</t>
        </is>
      </c>
      <c r="G181" t="n">
        <v>1.6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46641-2022</t>
        </is>
      </c>
      <c r="B182" s="1" t="n">
        <v>44849</v>
      </c>
      <c r="C182" s="1" t="n">
        <v>45762</v>
      </c>
      <c r="D182" t="inlineStr">
        <is>
          <t>VÄSTMANLANDS LÄN</t>
        </is>
      </c>
      <c r="E182" t="inlineStr">
        <is>
          <t>NORBERG</t>
        </is>
      </c>
      <c r="F182" t="inlineStr">
        <is>
          <t>Sveaskog</t>
        </is>
      </c>
      <c r="G182" t="n">
        <v>4.6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47607-2022</t>
        </is>
      </c>
      <c r="B183" s="1" t="n">
        <v>44852</v>
      </c>
      <c r="C183" s="1" t="n">
        <v>45762</v>
      </c>
      <c r="D183" t="inlineStr">
        <is>
          <t>VÄSTMANLANDS LÄN</t>
        </is>
      </c>
      <c r="E183" t="inlineStr">
        <is>
          <t>NORBERG</t>
        </is>
      </c>
      <c r="G183" t="n">
        <v>0.9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47610-2022</t>
        </is>
      </c>
      <c r="B184" s="1" t="n">
        <v>44852</v>
      </c>
      <c r="C184" s="1" t="n">
        <v>45762</v>
      </c>
      <c r="D184" t="inlineStr">
        <is>
          <t>VÄSTMANLANDS LÄN</t>
        </is>
      </c>
      <c r="E184" t="inlineStr">
        <is>
          <t>NORBERG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47599-2022</t>
        </is>
      </c>
      <c r="B185" s="1" t="n">
        <v>44852</v>
      </c>
      <c r="C185" s="1" t="n">
        <v>45762</v>
      </c>
      <c r="D185" t="inlineStr">
        <is>
          <t>VÄSTMANLANDS LÄN</t>
        </is>
      </c>
      <c r="E185" t="inlineStr">
        <is>
          <t>NORBERG</t>
        </is>
      </c>
      <c r="G185" t="n">
        <v>2.5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48754-2022</t>
        </is>
      </c>
      <c r="B186" s="1" t="n">
        <v>44859</v>
      </c>
      <c r="C186" s="1" t="n">
        <v>45762</v>
      </c>
      <c r="D186" t="inlineStr">
        <is>
          <t>VÄSTMANLANDS LÄN</t>
        </is>
      </c>
      <c r="E186" t="inlineStr">
        <is>
          <t>NORBERG</t>
        </is>
      </c>
      <c r="G186" t="n">
        <v>3.1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48859-2022</t>
        </is>
      </c>
      <c r="B187" s="1" t="n">
        <v>44859</v>
      </c>
      <c r="C187" s="1" t="n">
        <v>45762</v>
      </c>
      <c r="D187" t="inlineStr">
        <is>
          <t>VÄSTMANLANDS LÄN</t>
        </is>
      </c>
      <c r="E187" t="inlineStr">
        <is>
          <t>NORBERG</t>
        </is>
      </c>
      <c r="G187" t="n">
        <v>4.2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49143-2022</t>
        </is>
      </c>
      <c r="B188" s="1" t="n">
        <v>44860</v>
      </c>
      <c r="C188" s="1" t="n">
        <v>45762</v>
      </c>
      <c r="D188" t="inlineStr">
        <is>
          <t>VÄSTMANLANDS LÄN</t>
        </is>
      </c>
      <c r="E188" t="inlineStr">
        <is>
          <t>NORBERG</t>
        </is>
      </c>
      <c r="F188" t="inlineStr">
        <is>
          <t>Sveaskog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50124-2022</t>
        </is>
      </c>
      <c r="B189" s="1" t="n">
        <v>44860</v>
      </c>
      <c r="C189" s="1" t="n">
        <v>45762</v>
      </c>
      <c r="D189" t="inlineStr">
        <is>
          <t>VÄSTMANLANDS LÄN</t>
        </is>
      </c>
      <c r="E189" t="inlineStr">
        <is>
          <t>NORBERG</t>
        </is>
      </c>
      <c r="G189" t="n">
        <v>6.8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49163-2022</t>
        </is>
      </c>
      <c r="B190" s="1" t="n">
        <v>44860</v>
      </c>
      <c r="C190" s="1" t="n">
        <v>45762</v>
      </c>
      <c r="D190" t="inlineStr">
        <is>
          <t>VÄSTMANLANDS LÄN</t>
        </is>
      </c>
      <c r="E190" t="inlineStr">
        <is>
          <t>NORBERG</t>
        </is>
      </c>
      <c r="F190" t="inlineStr">
        <is>
          <t>Sveaskog</t>
        </is>
      </c>
      <c r="G190" t="n">
        <v>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51415-2022</t>
        </is>
      </c>
      <c r="B191" s="1" t="n">
        <v>44869</v>
      </c>
      <c r="C191" s="1" t="n">
        <v>45762</v>
      </c>
      <c r="D191" t="inlineStr">
        <is>
          <t>VÄSTMANLANDS LÄN</t>
        </is>
      </c>
      <c r="E191" t="inlineStr">
        <is>
          <t>NORBERG</t>
        </is>
      </c>
      <c r="F191" t="inlineStr">
        <is>
          <t>Övriga Aktiebolag</t>
        </is>
      </c>
      <c r="G191" t="n">
        <v>8.300000000000001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52063-2022</t>
        </is>
      </c>
      <c r="B192" s="1" t="n">
        <v>44873</v>
      </c>
      <c r="C192" s="1" t="n">
        <v>45762</v>
      </c>
      <c r="D192" t="inlineStr">
        <is>
          <t>VÄSTMANLANDS LÄN</t>
        </is>
      </c>
      <c r="E192" t="inlineStr">
        <is>
          <t>NORBERG</t>
        </is>
      </c>
      <c r="G192" t="n">
        <v>0.8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52068-2022</t>
        </is>
      </c>
      <c r="B193" s="1" t="n">
        <v>44873</v>
      </c>
      <c r="C193" s="1" t="n">
        <v>45762</v>
      </c>
      <c r="D193" t="inlineStr">
        <is>
          <t>VÄSTMANLANDS LÄN</t>
        </is>
      </c>
      <c r="E193" t="inlineStr">
        <is>
          <t>NORBERG</t>
        </is>
      </c>
      <c r="G193" t="n">
        <v>0.9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52076-2022</t>
        </is>
      </c>
      <c r="B194" s="1" t="n">
        <v>44873</v>
      </c>
      <c r="C194" s="1" t="n">
        <v>45762</v>
      </c>
      <c r="D194" t="inlineStr">
        <is>
          <t>VÄSTMANLANDS LÄN</t>
        </is>
      </c>
      <c r="E194" t="inlineStr">
        <is>
          <t>NORBERG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56279-2022</t>
        </is>
      </c>
      <c r="B195" s="1" t="n">
        <v>44890</v>
      </c>
      <c r="C195" s="1" t="n">
        <v>45762</v>
      </c>
      <c r="D195" t="inlineStr">
        <is>
          <t>VÄSTMANLANDS LÄN</t>
        </is>
      </c>
      <c r="E195" t="inlineStr">
        <is>
          <t>NORBERG</t>
        </is>
      </c>
      <c r="G195" t="n">
        <v>3.1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61745-2022</t>
        </is>
      </c>
      <c r="B196" s="1" t="n">
        <v>44911</v>
      </c>
      <c r="C196" s="1" t="n">
        <v>45762</v>
      </c>
      <c r="D196" t="inlineStr">
        <is>
          <t>VÄSTMANLANDS LÄN</t>
        </is>
      </c>
      <c r="E196" t="inlineStr">
        <is>
          <t>NORBERG</t>
        </is>
      </c>
      <c r="G196" t="n">
        <v>3.9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552-2023</t>
        </is>
      </c>
      <c r="B197" s="1" t="n">
        <v>44925</v>
      </c>
      <c r="C197" s="1" t="n">
        <v>45762</v>
      </c>
      <c r="D197" t="inlineStr">
        <is>
          <t>VÄSTMANLANDS LÄN</t>
        </is>
      </c>
      <c r="E197" t="inlineStr">
        <is>
          <t>NORBERG</t>
        </is>
      </c>
      <c r="G197" t="n">
        <v>4.6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559-2023</t>
        </is>
      </c>
      <c r="B198" s="1" t="n">
        <v>44925</v>
      </c>
      <c r="C198" s="1" t="n">
        <v>45762</v>
      </c>
      <c r="D198" t="inlineStr">
        <is>
          <t>VÄSTMANLANDS LÄN</t>
        </is>
      </c>
      <c r="E198" t="inlineStr">
        <is>
          <t>NORBERG</t>
        </is>
      </c>
      <c r="G198" t="n">
        <v>8.5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1814-2023</t>
        </is>
      </c>
      <c r="B199" s="1" t="n">
        <v>44938</v>
      </c>
      <c r="C199" s="1" t="n">
        <v>45762</v>
      </c>
      <c r="D199" t="inlineStr">
        <is>
          <t>VÄSTMANLANDS LÄN</t>
        </is>
      </c>
      <c r="E199" t="inlineStr">
        <is>
          <t>NORBERG</t>
        </is>
      </c>
      <c r="G199" t="n">
        <v>5.9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7744-2023</t>
        </is>
      </c>
      <c r="B200" s="1" t="n">
        <v>44973</v>
      </c>
      <c r="C200" s="1" t="n">
        <v>45762</v>
      </c>
      <c r="D200" t="inlineStr">
        <is>
          <t>VÄSTMANLANDS LÄN</t>
        </is>
      </c>
      <c r="E200" t="inlineStr">
        <is>
          <t>NORBERG</t>
        </is>
      </c>
      <c r="F200" t="inlineStr">
        <is>
          <t>Övriga Aktiebolag</t>
        </is>
      </c>
      <c r="G200" t="n">
        <v>2.1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8746-2023</t>
        </is>
      </c>
      <c r="B201" s="1" t="n">
        <v>44973</v>
      </c>
      <c r="C201" s="1" t="n">
        <v>45762</v>
      </c>
      <c r="D201" t="inlineStr">
        <is>
          <t>VÄSTMANLANDS LÄN</t>
        </is>
      </c>
      <c r="E201" t="inlineStr">
        <is>
          <t>NORBERG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8744-2023</t>
        </is>
      </c>
      <c r="B202" s="1" t="n">
        <v>44973</v>
      </c>
      <c r="C202" s="1" t="n">
        <v>45762</v>
      </c>
      <c r="D202" t="inlineStr">
        <is>
          <t>VÄSTMANLANDS LÄN</t>
        </is>
      </c>
      <c r="E202" t="inlineStr">
        <is>
          <t>NORBERG</t>
        </is>
      </c>
      <c r="G202" t="n">
        <v>5.1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10378-2023</t>
        </is>
      </c>
      <c r="B203" s="1" t="n">
        <v>44987</v>
      </c>
      <c r="C203" s="1" t="n">
        <v>45762</v>
      </c>
      <c r="D203" t="inlineStr">
        <is>
          <t>VÄSTMANLANDS LÄN</t>
        </is>
      </c>
      <c r="E203" t="inlineStr">
        <is>
          <t>NORBERG</t>
        </is>
      </c>
      <c r="F203" t="inlineStr">
        <is>
          <t>Övriga Aktiebolag</t>
        </is>
      </c>
      <c r="G203" t="n">
        <v>11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11099-2023</t>
        </is>
      </c>
      <c r="B204" s="1" t="n">
        <v>44992</v>
      </c>
      <c r="C204" s="1" t="n">
        <v>45762</v>
      </c>
      <c r="D204" t="inlineStr">
        <is>
          <t>VÄSTMANLANDS LÄN</t>
        </is>
      </c>
      <c r="E204" t="inlineStr">
        <is>
          <t>NORBERG</t>
        </is>
      </c>
      <c r="G204" t="n">
        <v>0.6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11664-2023</t>
        </is>
      </c>
      <c r="B205" s="1" t="n">
        <v>44992</v>
      </c>
      <c r="C205" s="1" t="n">
        <v>45762</v>
      </c>
      <c r="D205" t="inlineStr">
        <is>
          <t>VÄSTMANLANDS LÄN</t>
        </is>
      </c>
      <c r="E205" t="inlineStr">
        <is>
          <t>NORBERG</t>
        </is>
      </c>
      <c r="G205" t="n">
        <v>8.300000000000001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12170-2023</t>
        </is>
      </c>
      <c r="B206" s="1" t="n">
        <v>44998</v>
      </c>
      <c r="C206" s="1" t="n">
        <v>45762</v>
      </c>
      <c r="D206" t="inlineStr">
        <is>
          <t>VÄSTMANLANDS LÄN</t>
        </is>
      </c>
      <c r="E206" t="inlineStr">
        <is>
          <t>NORBERG</t>
        </is>
      </c>
      <c r="F206" t="inlineStr">
        <is>
          <t>Övriga Aktiebolag</t>
        </is>
      </c>
      <c r="G206" t="n">
        <v>19.6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12130-2023</t>
        </is>
      </c>
      <c r="B207" s="1" t="n">
        <v>44998</v>
      </c>
      <c r="C207" s="1" t="n">
        <v>45762</v>
      </c>
      <c r="D207" t="inlineStr">
        <is>
          <t>VÄSTMANLANDS LÄN</t>
        </is>
      </c>
      <c r="E207" t="inlineStr">
        <is>
          <t>NORBERG</t>
        </is>
      </c>
      <c r="F207" t="inlineStr">
        <is>
          <t>Övriga Aktiebolag</t>
        </is>
      </c>
      <c r="G207" t="n">
        <v>14.6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12171-2023</t>
        </is>
      </c>
      <c r="B208" s="1" t="n">
        <v>44998</v>
      </c>
      <c r="C208" s="1" t="n">
        <v>45762</v>
      </c>
      <c r="D208" t="inlineStr">
        <is>
          <t>VÄSTMANLANDS LÄN</t>
        </is>
      </c>
      <c r="E208" t="inlineStr">
        <is>
          <t>NORBERG</t>
        </is>
      </c>
      <c r="F208" t="inlineStr">
        <is>
          <t>Övriga Aktiebolag</t>
        </is>
      </c>
      <c r="G208" t="n">
        <v>7.2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12796-2023</t>
        </is>
      </c>
      <c r="B209" s="1" t="n">
        <v>45001</v>
      </c>
      <c r="C209" s="1" t="n">
        <v>45762</v>
      </c>
      <c r="D209" t="inlineStr">
        <is>
          <t>VÄSTMANLANDS LÄN</t>
        </is>
      </c>
      <c r="E209" t="inlineStr">
        <is>
          <t>NORBERG</t>
        </is>
      </c>
      <c r="G209" t="n">
        <v>22.4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13454-2023</t>
        </is>
      </c>
      <c r="B210" s="1" t="n">
        <v>45005</v>
      </c>
      <c r="C210" s="1" t="n">
        <v>45762</v>
      </c>
      <c r="D210" t="inlineStr">
        <is>
          <t>VÄSTMANLANDS LÄN</t>
        </is>
      </c>
      <c r="E210" t="inlineStr">
        <is>
          <t>NORBERG</t>
        </is>
      </c>
      <c r="G210" t="n">
        <v>1.1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13453-2023</t>
        </is>
      </c>
      <c r="B211" s="1" t="n">
        <v>45005</v>
      </c>
      <c r="C211" s="1" t="n">
        <v>45762</v>
      </c>
      <c r="D211" t="inlineStr">
        <is>
          <t>VÄSTMANLANDS LÄN</t>
        </is>
      </c>
      <c r="E211" t="inlineStr">
        <is>
          <t>NORBERG</t>
        </is>
      </c>
      <c r="G211" t="n">
        <v>3.7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14033-2023</t>
        </is>
      </c>
      <c r="B212" s="1" t="n">
        <v>45007</v>
      </c>
      <c r="C212" s="1" t="n">
        <v>45762</v>
      </c>
      <c r="D212" t="inlineStr">
        <is>
          <t>VÄSTMANLANDS LÄN</t>
        </is>
      </c>
      <c r="E212" t="inlineStr">
        <is>
          <t>NORBERG</t>
        </is>
      </c>
      <c r="G212" t="n">
        <v>6.3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13904-2023</t>
        </is>
      </c>
      <c r="B213" s="1" t="n">
        <v>45008</v>
      </c>
      <c r="C213" s="1" t="n">
        <v>45762</v>
      </c>
      <c r="D213" t="inlineStr">
        <is>
          <t>VÄSTMANLANDS LÄN</t>
        </is>
      </c>
      <c r="E213" t="inlineStr">
        <is>
          <t>NORBERG</t>
        </is>
      </c>
      <c r="F213" t="inlineStr">
        <is>
          <t>Sveaskog</t>
        </is>
      </c>
      <c r="G213" t="n">
        <v>1.6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14617-2023</t>
        </is>
      </c>
      <c r="B214" s="1" t="n">
        <v>45013</v>
      </c>
      <c r="C214" s="1" t="n">
        <v>45762</v>
      </c>
      <c r="D214" t="inlineStr">
        <is>
          <t>VÄSTMANLANDS LÄN</t>
        </is>
      </c>
      <c r="E214" t="inlineStr">
        <is>
          <t>NORBERG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14616-2023</t>
        </is>
      </c>
      <c r="B215" s="1" t="n">
        <v>45013</v>
      </c>
      <c r="C215" s="1" t="n">
        <v>45762</v>
      </c>
      <c r="D215" t="inlineStr">
        <is>
          <t>VÄSTMANLANDS LÄN</t>
        </is>
      </c>
      <c r="E215" t="inlineStr">
        <is>
          <t>NORBERG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14827-2023</t>
        </is>
      </c>
      <c r="B216" s="1" t="n">
        <v>45013</v>
      </c>
      <c r="C216" s="1" t="n">
        <v>45762</v>
      </c>
      <c r="D216" t="inlineStr">
        <is>
          <t>VÄSTMANLANDS LÄN</t>
        </is>
      </c>
      <c r="E216" t="inlineStr">
        <is>
          <t>NORBERG</t>
        </is>
      </c>
      <c r="G216" t="n">
        <v>17.9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14903-2023</t>
        </is>
      </c>
      <c r="B217" s="1" t="n">
        <v>45014</v>
      </c>
      <c r="C217" s="1" t="n">
        <v>45762</v>
      </c>
      <c r="D217" t="inlineStr">
        <is>
          <t>VÄSTMANLANDS LÄN</t>
        </is>
      </c>
      <c r="E217" t="inlineStr">
        <is>
          <t>NORBERG</t>
        </is>
      </c>
      <c r="G217" t="n">
        <v>2.6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14904-2023</t>
        </is>
      </c>
      <c r="B218" s="1" t="n">
        <v>45014</v>
      </c>
      <c r="C218" s="1" t="n">
        <v>45762</v>
      </c>
      <c r="D218" t="inlineStr">
        <is>
          <t>VÄSTMANLANDS LÄN</t>
        </is>
      </c>
      <c r="E218" t="inlineStr">
        <is>
          <t>NORBERG</t>
        </is>
      </c>
      <c r="G218" t="n">
        <v>3.5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15083-2023</t>
        </is>
      </c>
      <c r="B219" s="1" t="n">
        <v>45016</v>
      </c>
      <c r="C219" s="1" t="n">
        <v>45762</v>
      </c>
      <c r="D219" t="inlineStr">
        <is>
          <t>VÄSTMANLANDS LÄN</t>
        </is>
      </c>
      <c r="E219" t="inlineStr">
        <is>
          <t>NORBERG</t>
        </is>
      </c>
      <c r="F219" t="inlineStr">
        <is>
          <t>Bergvik skog väst AB</t>
        </is>
      </c>
      <c r="G219" t="n">
        <v>3.2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15084-2023</t>
        </is>
      </c>
      <c r="B220" s="1" t="n">
        <v>45016</v>
      </c>
      <c r="C220" s="1" t="n">
        <v>45762</v>
      </c>
      <c r="D220" t="inlineStr">
        <is>
          <t>VÄSTMANLANDS LÄN</t>
        </is>
      </c>
      <c r="E220" t="inlineStr">
        <is>
          <t>NORBERG</t>
        </is>
      </c>
      <c r="F220" t="inlineStr">
        <is>
          <t>Bergvik skog väst AB</t>
        </is>
      </c>
      <c r="G220" t="n">
        <v>3.8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15098-2023</t>
        </is>
      </c>
      <c r="B221" s="1" t="n">
        <v>45016</v>
      </c>
      <c r="C221" s="1" t="n">
        <v>45762</v>
      </c>
      <c r="D221" t="inlineStr">
        <is>
          <t>VÄSTMANLANDS LÄN</t>
        </is>
      </c>
      <c r="E221" t="inlineStr">
        <is>
          <t>NORBERG</t>
        </is>
      </c>
      <c r="F221" t="inlineStr">
        <is>
          <t>Övriga Aktiebolag</t>
        </is>
      </c>
      <c r="G221" t="n">
        <v>5.6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15431-2023</t>
        </is>
      </c>
      <c r="B222" s="1" t="n">
        <v>45020</v>
      </c>
      <c r="C222" s="1" t="n">
        <v>45762</v>
      </c>
      <c r="D222" t="inlineStr">
        <is>
          <t>VÄSTMANLANDS LÄN</t>
        </is>
      </c>
      <c r="E222" t="inlineStr">
        <is>
          <t>NORBERG</t>
        </is>
      </c>
      <c r="F222" t="inlineStr">
        <is>
          <t>Övriga Aktiebolag</t>
        </is>
      </c>
      <c r="G222" t="n">
        <v>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15429-2023</t>
        </is>
      </c>
      <c r="B223" s="1" t="n">
        <v>45020</v>
      </c>
      <c r="C223" s="1" t="n">
        <v>45762</v>
      </c>
      <c r="D223" t="inlineStr">
        <is>
          <t>VÄSTMANLANDS LÄN</t>
        </is>
      </c>
      <c r="E223" t="inlineStr">
        <is>
          <t>NORBERG</t>
        </is>
      </c>
      <c r="F223" t="inlineStr">
        <is>
          <t>Övriga Aktiebolag</t>
        </is>
      </c>
      <c r="G223" t="n">
        <v>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16103-2023</t>
        </is>
      </c>
      <c r="B224" s="1" t="n">
        <v>45021</v>
      </c>
      <c r="C224" s="1" t="n">
        <v>45762</v>
      </c>
      <c r="D224" t="inlineStr">
        <is>
          <t>VÄSTMANLANDS LÄN</t>
        </is>
      </c>
      <c r="E224" t="inlineStr">
        <is>
          <t>NORBERG</t>
        </is>
      </c>
      <c r="G224" t="n">
        <v>4.7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16105-2023</t>
        </is>
      </c>
      <c r="B225" s="1" t="n">
        <v>45021</v>
      </c>
      <c r="C225" s="1" t="n">
        <v>45762</v>
      </c>
      <c r="D225" t="inlineStr">
        <is>
          <t>VÄSTMANLANDS LÄN</t>
        </is>
      </c>
      <c r="E225" t="inlineStr">
        <is>
          <t>NORBERG</t>
        </is>
      </c>
      <c r="G225" t="n">
        <v>5.6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16225-2023</t>
        </is>
      </c>
      <c r="B226" s="1" t="n">
        <v>45028</v>
      </c>
      <c r="C226" s="1" t="n">
        <v>45762</v>
      </c>
      <c r="D226" t="inlineStr">
        <is>
          <t>VÄSTMANLANDS LÄN</t>
        </is>
      </c>
      <c r="E226" t="inlineStr">
        <is>
          <t>NORBERG</t>
        </is>
      </c>
      <c r="G226" t="n">
        <v>1.2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16396-2023</t>
        </is>
      </c>
      <c r="B227" s="1" t="n">
        <v>45029</v>
      </c>
      <c r="C227" s="1" t="n">
        <v>45762</v>
      </c>
      <c r="D227" t="inlineStr">
        <is>
          <t>VÄSTMANLANDS LÄN</t>
        </is>
      </c>
      <c r="E227" t="inlineStr">
        <is>
          <t>NORBERG</t>
        </is>
      </c>
      <c r="G227" t="n">
        <v>6.3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16953-2023</t>
        </is>
      </c>
      <c r="B228" s="1" t="n">
        <v>45029</v>
      </c>
      <c r="C228" s="1" t="n">
        <v>45762</v>
      </c>
      <c r="D228" t="inlineStr">
        <is>
          <t>VÄSTMANLANDS LÄN</t>
        </is>
      </c>
      <c r="E228" t="inlineStr">
        <is>
          <t>NORBERG</t>
        </is>
      </c>
      <c r="G228" t="n">
        <v>3.6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16955-2023</t>
        </is>
      </c>
      <c r="B229" s="1" t="n">
        <v>45029</v>
      </c>
      <c r="C229" s="1" t="n">
        <v>45762</v>
      </c>
      <c r="D229" t="inlineStr">
        <is>
          <t>VÄSTMANLANDS LÄN</t>
        </is>
      </c>
      <c r="E229" t="inlineStr">
        <is>
          <t>NORBERG</t>
        </is>
      </c>
      <c r="G229" t="n">
        <v>4.4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17038-2023</t>
        </is>
      </c>
      <c r="B230" s="1" t="n">
        <v>45034</v>
      </c>
      <c r="C230" s="1" t="n">
        <v>45762</v>
      </c>
      <c r="D230" t="inlineStr">
        <is>
          <t>VÄSTMANLANDS LÄN</t>
        </is>
      </c>
      <c r="E230" t="inlineStr">
        <is>
          <t>NORBERG</t>
        </is>
      </c>
      <c r="F230" t="inlineStr">
        <is>
          <t>Bergvik skog väst AB</t>
        </is>
      </c>
      <c r="G230" t="n">
        <v>3.5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17075-2023</t>
        </is>
      </c>
      <c r="B231" s="1" t="n">
        <v>45034</v>
      </c>
      <c r="C231" s="1" t="n">
        <v>45762</v>
      </c>
      <c r="D231" t="inlineStr">
        <is>
          <t>VÄSTMANLANDS LÄN</t>
        </is>
      </c>
      <c r="E231" t="inlineStr">
        <is>
          <t>NORBERG</t>
        </is>
      </c>
      <c r="F231" t="inlineStr">
        <is>
          <t>Bergvik skog väst AB</t>
        </is>
      </c>
      <c r="G231" t="n">
        <v>8.1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17990-2023</t>
        </is>
      </c>
      <c r="B232" s="1" t="n">
        <v>45040</v>
      </c>
      <c r="C232" s="1" t="n">
        <v>45762</v>
      </c>
      <c r="D232" t="inlineStr">
        <is>
          <t>VÄSTMANLANDS LÄN</t>
        </is>
      </c>
      <c r="E232" t="inlineStr">
        <is>
          <t>NORBERG</t>
        </is>
      </c>
      <c r="G232" t="n">
        <v>11.9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18194-2023</t>
        </is>
      </c>
      <c r="B233" s="1" t="n">
        <v>45041</v>
      </c>
      <c r="C233" s="1" t="n">
        <v>45762</v>
      </c>
      <c r="D233" t="inlineStr">
        <is>
          <t>VÄSTMANLANDS LÄN</t>
        </is>
      </c>
      <c r="E233" t="inlineStr">
        <is>
          <t>NORBERG</t>
        </is>
      </c>
      <c r="G233" t="n">
        <v>4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18384-2023</t>
        </is>
      </c>
      <c r="B234" s="1" t="n">
        <v>45042</v>
      </c>
      <c r="C234" s="1" t="n">
        <v>45762</v>
      </c>
      <c r="D234" t="inlineStr">
        <is>
          <t>VÄSTMANLANDS LÄN</t>
        </is>
      </c>
      <c r="E234" t="inlineStr">
        <is>
          <t>NORBERG</t>
        </is>
      </c>
      <c r="F234" t="inlineStr">
        <is>
          <t>Övriga Aktiebolag</t>
        </is>
      </c>
      <c r="G234" t="n">
        <v>14.8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18745-2023</t>
        </is>
      </c>
      <c r="B235" s="1" t="n">
        <v>45043</v>
      </c>
      <c r="C235" s="1" t="n">
        <v>45762</v>
      </c>
      <c r="D235" t="inlineStr">
        <is>
          <t>VÄSTMANLANDS LÄN</t>
        </is>
      </c>
      <c r="E235" t="inlineStr">
        <is>
          <t>NORBERG</t>
        </is>
      </c>
      <c r="G235" t="n">
        <v>7.7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18744-2023</t>
        </is>
      </c>
      <c r="B236" s="1" t="n">
        <v>45043</v>
      </c>
      <c r="C236" s="1" t="n">
        <v>45762</v>
      </c>
      <c r="D236" t="inlineStr">
        <is>
          <t>VÄSTMANLANDS LÄN</t>
        </is>
      </c>
      <c r="E236" t="inlineStr">
        <is>
          <t>NORBERG</t>
        </is>
      </c>
      <c r="G236" t="n">
        <v>4.1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19019-2023</t>
        </is>
      </c>
      <c r="B237" s="1" t="n">
        <v>45047</v>
      </c>
      <c r="C237" s="1" t="n">
        <v>45762</v>
      </c>
      <c r="D237" t="inlineStr">
        <is>
          <t>VÄSTMANLANDS LÄN</t>
        </is>
      </c>
      <c r="E237" t="inlineStr">
        <is>
          <t>NORBERG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19020-2023</t>
        </is>
      </c>
      <c r="B238" s="1" t="n">
        <v>45047</v>
      </c>
      <c r="C238" s="1" t="n">
        <v>45762</v>
      </c>
      <c r="D238" t="inlineStr">
        <is>
          <t>VÄSTMANLANDS LÄN</t>
        </is>
      </c>
      <c r="E238" t="inlineStr">
        <is>
          <t>NORBERG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19254-2023</t>
        </is>
      </c>
      <c r="B239" s="1" t="n">
        <v>45049</v>
      </c>
      <c r="C239" s="1" t="n">
        <v>45762</v>
      </c>
      <c r="D239" t="inlineStr">
        <is>
          <t>VÄSTMANLANDS LÄN</t>
        </is>
      </c>
      <c r="E239" t="inlineStr">
        <is>
          <t>NORBERG</t>
        </is>
      </c>
      <c r="G239" t="n">
        <v>2.7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19253-2023</t>
        </is>
      </c>
      <c r="B240" s="1" t="n">
        <v>45049</v>
      </c>
      <c r="C240" s="1" t="n">
        <v>45762</v>
      </c>
      <c r="D240" t="inlineStr">
        <is>
          <t>VÄSTMANLANDS LÄN</t>
        </is>
      </c>
      <c r="E240" t="inlineStr">
        <is>
          <t>NORBERG</t>
        </is>
      </c>
      <c r="G240" t="n">
        <v>0.8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20381-2023</t>
        </is>
      </c>
      <c r="B241" s="1" t="n">
        <v>45056</v>
      </c>
      <c r="C241" s="1" t="n">
        <v>45762</v>
      </c>
      <c r="D241" t="inlineStr">
        <is>
          <t>VÄSTMANLANDS LÄN</t>
        </is>
      </c>
      <c r="E241" t="inlineStr">
        <is>
          <t>NORBERG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20378-2023</t>
        </is>
      </c>
      <c r="B242" s="1" t="n">
        <v>45056</v>
      </c>
      <c r="C242" s="1" t="n">
        <v>45762</v>
      </c>
      <c r="D242" t="inlineStr">
        <is>
          <t>VÄSTMANLANDS LÄN</t>
        </is>
      </c>
      <c r="E242" t="inlineStr">
        <is>
          <t>NORBERG</t>
        </is>
      </c>
      <c r="G242" t="n">
        <v>5.8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21528-2023</t>
        </is>
      </c>
      <c r="B243" s="1" t="n">
        <v>45063</v>
      </c>
      <c r="C243" s="1" t="n">
        <v>45762</v>
      </c>
      <c r="D243" t="inlineStr">
        <is>
          <t>VÄSTMANLANDS LÄN</t>
        </is>
      </c>
      <c r="E243" t="inlineStr">
        <is>
          <t>NORBERG</t>
        </is>
      </c>
      <c r="G243" t="n">
        <v>2.8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21543-2023</t>
        </is>
      </c>
      <c r="B244" s="1" t="n">
        <v>45063</v>
      </c>
      <c r="C244" s="1" t="n">
        <v>45762</v>
      </c>
      <c r="D244" t="inlineStr">
        <is>
          <t>VÄSTMANLANDS LÄN</t>
        </is>
      </c>
      <c r="E244" t="inlineStr">
        <is>
          <t>NORBERG</t>
        </is>
      </c>
      <c r="G244" t="n">
        <v>2.8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23542-2023</t>
        </is>
      </c>
      <c r="B245" s="1" t="n">
        <v>45077</v>
      </c>
      <c r="C245" s="1" t="n">
        <v>45762</v>
      </c>
      <c r="D245" t="inlineStr">
        <is>
          <t>VÄSTMANLANDS LÄN</t>
        </is>
      </c>
      <c r="E245" t="inlineStr">
        <is>
          <t>NORBERG</t>
        </is>
      </c>
      <c r="F245" t="inlineStr">
        <is>
          <t>Bergvik skog väst AB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23616-2023</t>
        </is>
      </c>
      <c r="B246" s="1" t="n">
        <v>45077</v>
      </c>
      <c r="C246" s="1" t="n">
        <v>45762</v>
      </c>
      <c r="D246" t="inlineStr">
        <is>
          <t>VÄSTMANLANDS LÄN</t>
        </is>
      </c>
      <c r="E246" t="inlineStr">
        <is>
          <t>NORBERG</t>
        </is>
      </c>
      <c r="G246" t="n">
        <v>4.5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23791-2023</t>
        </is>
      </c>
      <c r="B247" s="1" t="n">
        <v>45078</v>
      </c>
      <c r="C247" s="1" t="n">
        <v>45762</v>
      </c>
      <c r="D247" t="inlineStr">
        <is>
          <t>VÄSTMANLANDS LÄN</t>
        </is>
      </c>
      <c r="E247" t="inlineStr">
        <is>
          <t>NORBERG</t>
        </is>
      </c>
      <c r="F247" t="inlineStr">
        <is>
          <t>Bergvik skog väst AB</t>
        </is>
      </c>
      <c r="G247" t="n">
        <v>4.6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23917-2023</t>
        </is>
      </c>
      <c r="B248" s="1" t="n">
        <v>45078</v>
      </c>
      <c r="C248" s="1" t="n">
        <v>45762</v>
      </c>
      <c r="D248" t="inlineStr">
        <is>
          <t>VÄSTMANLANDS LÄN</t>
        </is>
      </c>
      <c r="E248" t="inlineStr">
        <is>
          <t>NORBERG</t>
        </is>
      </c>
      <c r="G248" t="n">
        <v>1.6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24606-2023</t>
        </is>
      </c>
      <c r="B249" s="1" t="n">
        <v>45084</v>
      </c>
      <c r="C249" s="1" t="n">
        <v>45762</v>
      </c>
      <c r="D249" t="inlineStr">
        <is>
          <t>VÄSTMANLANDS LÄN</t>
        </is>
      </c>
      <c r="E249" t="inlineStr">
        <is>
          <t>NORBERG</t>
        </is>
      </c>
      <c r="G249" t="n">
        <v>1.1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25761-2023</t>
        </is>
      </c>
      <c r="B250" s="1" t="n">
        <v>45084</v>
      </c>
      <c r="C250" s="1" t="n">
        <v>45762</v>
      </c>
      <c r="D250" t="inlineStr">
        <is>
          <t>VÄSTMANLANDS LÄN</t>
        </is>
      </c>
      <c r="E250" t="inlineStr">
        <is>
          <t>NORBERG</t>
        </is>
      </c>
      <c r="G250" t="n">
        <v>6.2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25477-2023</t>
        </is>
      </c>
      <c r="B251" s="1" t="n">
        <v>45089</v>
      </c>
      <c r="C251" s="1" t="n">
        <v>45762</v>
      </c>
      <c r="D251" t="inlineStr">
        <is>
          <t>VÄSTMANLANDS LÄN</t>
        </is>
      </c>
      <c r="E251" t="inlineStr">
        <is>
          <t>NORBERG</t>
        </is>
      </c>
      <c r="G251" t="n">
        <v>1.2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25540-2023</t>
        </is>
      </c>
      <c r="B252" s="1" t="n">
        <v>45089</v>
      </c>
      <c r="C252" s="1" t="n">
        <v>45762</v>
      </c>
      <c r="D252" t="inlineStr">
        <is>
          <t>VÄSTMANLANDS LÄN</t>
        </is>
      </c>
      <c r="E252" t="inlineStr">
        <is>
          <t>NORBERG</t>
        </is>
      </c>
      <c r="G252" t="n">
        <v>2.3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26069-2023</t>
        </is>
      </c>
      <c r="B253" s="1" t="n">
        <v>45091</v>
      </c>
      <c r="C253" s="1" t="n">
        <v>45762</v>
      </c>
      <c r="D253" t="inlineStr">
        <is>
          <t>VÄSTMANLANDS LÄN</t>
        </is>
      </c>
      <c r="E253" t="inlineStr">
        <is>
          <t>NORBERG</t>
        </is>
      </c>
      <c r="G253" t="n">
        <v>2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26068-2023</t>
        </is>
      </c>
      <c r="B254" s="1" t="n">
        <v>45091</v>
      </c>
      <c r="C254" s="1" t="n">
        <v>45762</v>
      </c>
      <c r="D254" t="inlineStr">
        <is>
          <t>VÄSTMANLANDS LÄN</t>
        </is>
      </c>
      <c r="E254" t="inlineStr">
        <is>
          <t>NORBERG</t>
        </is>
      </c>
      <c r="G254" t="n">
        <v>10.5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26072-2023</t>
        </is>
      </c>
      <c r="B255" s="1" t="n">
        <v>45091</v>
      </c>
      <c r="C255" s="1" t="n">
        <v>45762</v>
      </c>
      <c r="D255" t="inlineStr">
        <is>
          <t>VÄSTMANLANDS LÄN</t>
        </is>
      </c>
      <c r="E255" t="inlineStr">
        <is>
          <t>NORBERG</t>
        </is>
      </c>
      <c r="G255" t="n">
        <v>3.4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26066-2023</t>
        </is>
      </c>
      <c r="B256" s="1" t="n">
        <v>45091</v>
      </c>
      <c r="C256" s="1" t="n">
        <v>45762</v>
      </c>
      <c r="D256" t="inlineStr">
        <is>
          <t>VÄSTMANLANDS LÄN</t>
        </is>
      </c>
      <c r="E256" t="inlineStr">
        <is>
          <t>NORBERG</t>
        </is>
      </c>
      <c r="G256" t="n">
        <v>0.8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26802-2023</t>
        </is>
      </c>
      <c r="B257" s="1" t="n">
        <v>45093</v>
      </c>
      <c r="C257" s="1" t="n">
        <v>45762</v>
      </c>
      <c r="D257" t="inlineStr">
        <is>
          <t>VÄSTMANLANDS LÄN</t>
        </is>
      </c>
      <c r="E257" t="inlineStr">
        <is>
          <t>NORBERG</t>
        </is>
      </c>
      <c r="G257" t="n">
        <v>0.6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27635-2023</t>
        </is>
      </c>
      <c r="B258" s="1" t="n">
        <v>45093</v>
      </c>
      <c r="C258" s="1" t="n">
        <v>45762</v>
      </c>
      <c r="D258" t="inlineStr">
        <is>
          <t>VÄSTMANLANDS LÄN</t>
        </is>
      </c>
      <c r="E258" t="inlineStr">
        <is>
          <t>NORBERG</t>
        </is>
      </c>
      <c r="G258" t="n">
        <v>3.8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28589-2023</t>
        </is>
      </c>
      <c r="B259" s="1" t="n">
        <v>45103</v>
      </c>
      <c r="C259" s="1" t="n">
        <v>45762</v>
      </c>
      <c r="D259" t="inlineStr">
        <is>
          <t>VÄSTMANLANDS LÄN</t>
        </is>
      </c>
      <c r="E259" t="inlineStr">
        <is>
          <t>NORBERG</t>
        </is>
      </c>
      <c r="G259" t="n">
        <v>2.3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32686-2023</t>
        </is>
      </c>
      <c r="B260" s="1" t="n">
        <v>45112</v>
      </c>
      <c r="C260" s="1" t="n">
        <v>45762</v>
      </c>
      <c r="D260" t="inlineStr">
        <is>
          <t>VÄSTMANLANDS LÄN</t>
        </is>
      </c>
      <c r="E260" t="inlineStr">
        <is>
          <t>NORBERG</t>
        </is>
      </c>
      <c r="F260" t="inlineStr">
        <is>
          <t>Bergvik skog väst AB</t>
        </is>
      </c>
      <c r="G260" t="n">
        <v>9.6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32093-2023</t>
        </is>
      </c>
      <c r="B261" s="1" t="n">
        <v>45119</v>
      </c>
      <c r="C261" s="1" t="n">
        <v>45762</v>
      </c>
      <c r="D261" t="inlineStr">
        <is>
          <t>VÄSTMANLANDS LÄN</t>
        </is>
      </c>
      <c r="E261" t="inlineStr">
        <is>
          <t>NORBERG</t>
        </is>
      </c>
      <c r="G261" t="n">
        <v>7.1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32524-2023</t>
        </is>
      </c>
      <c r="B262" s="1" t="n">
        <v>45121</v>
      </c>
      <c r="C262" s="1" t="n">
        <v>45762</v>
      </c>
      <c r="D262" t="inlineStr">
        <is>
          <t>VÄSTMANLANDS LÄN</t>
        </is>
      </c>
      <c r="E262" t="inlineStr">
        <is>
          <t>NORBERG</t>
        </is>
      </c>
      <c r="G262" t="n">
        <v>1.7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32529-2023</t>
        </is>
      </c>
      <c r="B263" s="1" t="n">
        <v>45121</v>
      </c>
      <c r="C263" s="1" t="n">
        <v>45762</v>
      </c>
      <c r="D263" t="inlineStr">
        <is>
          <t>VÄSTMANLANDS LÄN</t>
        </is>
      </c>
      <c r="E263" t="inlineStr">
        <is>
          <t>NORBERG</t>
        </is>
      </c>
      <c r="G263" t="n">
        <v>1.2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32513-2023</t>
        </is>
      </c>
      <c r="B264" s="1" t="n">
        <v>45121</v>
      </c>
      <c r="C264" s="1" t="n">
        <v>45762</v>
      </c>
      <c r="D264" t="inlineStr">
        <is>
          <t>VÄSTMANLANDS LÄN</t>
        </is>
      </c>
      <c r="E264" t="inlineStr">
        <is>
          <t>NORBERG</t>
        </is>
      </c>
      <c r="G264" t="n">
        <v>1.6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32516-2023</t>
        </is>
      </c>
      <c r="B265" s="1" t="n">
        <v>45121</v>
      </c>
      <c r="C265" s="1" t="n">
        <v>45762</v>
      </c>
      <c r="D265" t="inlineStr">
        <is>
          <t>VÄSTMANLANDS LÄN</t>
        </is>
      </c>
      <c r="E265" t="inlineStr">
        <is>
          <t>NORBERG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33909-2023</t>
        </is>
      </c>
      <c r="B266" s="1" t="n">
        <v>45122</v>
      </c>
      <c r="C266" s="1" t="n">
        <v>45762</v>
      </c>
      <c r="D266" t="inlineStr">
        <is>
          <t>VÄSTMANLANDS LÄN</t>
        </is>
      </c>
      <c r="E266" t="inlineStr">
        <is>
          <t>NORBERG</t>
        </is>
      </c>
      <c r="G266" t="n">
        <v>10.8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33378-2023</t>
        </is>
      </c>
      <c r="B267" s="1" t="n">
        <v>45128</v>
      </c>
      <c r="C267" s="1" t="n">
        <v>45762</v>
      </c>
      <c r="D267" t="inlineStr">
        <is>
          <t>VÄSTMANLANDS LÄN</t>
        </is>
      </c>
      <c r="E267" t="inlineStr">
        <is>
          <t>NORBERG</t>
        </is>
      </c>
      <c r="F267" t="inlineStr">
        <is>
          <t>Sveaskog</t>
        </is>
      </c>
      <c r="G267" t="n">
        <v>3.5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33379-2023</t>
        </is>
      </c>
      <c r="B268" s="1" t="n">
        <v>45128</v>
      </c>
      <c r="C268" s="1" t="n">
        <v>45762</v>
      </c>
      <c r="D268" t="inlineStr">
        <is>
          <t>VÄSTMANLANDS LÄN</t>
        </is>
      </c>
      <c r="E268" t="inlineStr">
        <is>
          <t>NORBERG</t>
        </is>
      </c>
      <c r="F268" t="inlineStr">
        <is>
          <t>Sveaskog</t>
        </is>
      </c>
      <c r="G268" t="n">
        <v>2.6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33376-2023</t>
        </is>
      </c>
      <c r="B269" s="1" t="n">
        <v>45128</v>
      </c>
      <c r="C269" s="1" t="n">
        <v>45762</v>
      </c>
      <c r="D269" t="inlineStr">
        <is>
          <t>VÄSTMANLANDS LÄN</t>
        </is>
      </c>
      <c r="E269" t="inlineStr">
        <is>
          <t>NORBERG</t>
        </is>
      </c>
      <c r="F269" t="inlineStr">
        <is>
          <t>Sveaskog</t>
        </is>
      </c>
      <c r="G269" t="n">
        <v>5.9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34967-2023</t>
        </is>
      </c>
      <c r="B270" s="1" t="n">
        <v>45142</v>
      </c>
      <c r="C270" s="1" t="n">
        <v>45762</v>
      </c>
      <c r="D270" t="inlineStr">
        <is>
          <t>VÄSTMANLANDS LÄN</t>
        </is>
      </c>
      <c r="E270" t="inlineStr">
        <is>
          <t>NORBERG</t>
        </is>
      </c>
      <c r="F270" t="inlineStr">
        <is>
          <t>Kyrkan</t>
        </is>
      </c>
      <c r="G270" t="n">
        <v>0.6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36905-2023</t>
        </is>
      </c>
      <c r="B271" s="1" t="n">
        <v>45154</v>
      </c>
      <c r="C271" s="1" t="n">
        <v>45762</v>
      </c>
      <c r="D271" t="inlineStr">
        <is>
          <t>VÄSTMANLANDS LÄN</t>
        </is>
      </c>
      <c r="E271" t="inlineStr">
        <is>
          <t>NORBERG</t>
        </is>
      </c>
      <c r="G271" t="n">
        <v>0.2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37017-2023</t>
        </is>
      </c>
      <c r="B272" s="1" t="n">
        <v>45155</v>
      </c>
      <c r="C272" s="1" t="n">
        <v>45762</v>
      </c>
      <c r="D272" t="inlineStr">
        <is>
          <t>VÄSTMANLANDS LÄN</t>
        </is>
      </c>
      <c r="E272" t="inlineStr">
        <is>
          <t>NORBERG</t>
        </is>
      </c>
      <c r="F272" t="inlineStr">
        <is>
          <t>Övriga Aktiebolag</t>
        </is>
      </c>
      <c r="G272" t="n">
        <v>15.9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37011-2023</t>
        </is>
      </c>
      <c r="B273" s="1" t="n">
        <v>45155</v>
      </c>
      <c r="C273" s="1" t="n">
        <v>45762</v>
      </c>
      <c r="D273" t="inlineStr">
        <is>
          <t>VÄSTMANLANDS LÄN</t>
        </is>
      </c>
      <c r="E273" t="inlineStr">
        <is>
          <t>NORBERG</t>
        </is>
      </c>
      <c r="F273" t="inlineStr">
        <is>
          <t>Övriga Aktiebolag</t>
        </is>
      </c>
      <c r="G273" t="n">
        <v>7.6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37200-2023</t>
        </is>
      </c>
      <c r="B274" s="1" t="n">
        <v>45155</v>
      </c>
      <c r="C274" s="1" t="n">
        <v>45762</v>
      </c>
      <c r="D274" t="inlineStr">
        <is>
          <t>VÄSTMANLANDS LÄN</t>
        </is>
      </c>
      <c r="E274" t="inlineStr">
        <is>
          <t>NORBERG</t>
        </is>
      </c>
      <c r="F274" t="inlineStr">
        <is>
          <t>Sveaskog</t>
        </is>
      </c>
      <c r="G274" t="n">
        <v>4.5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37198-2023</t>
        </is>
      </c>
      <c r="B275" s="1" t="n">
        <v>45155</v>
      </c>
      <c r="C275" s="1" t="n">
        <v>45762</v>
      </c>
      <c r="D275" t="inlineStr">
        <is>
          <t>VÄSTMANLANDS LÄN</t>
        </is>
      </c>
      <c r="E275" t="inlineStr">
        <is>
          <t>NORBERG</t>
        </is>
      </c>
      <c r="F275" t="inlineStr">
        <is>
          <t>Sveaskog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40138-2023</t>
        </is>
      </c>
      <c r="B276" s="1" t="n">
        <v>45169</v>
      </c>
      <c r="C276" s="1" t="n">
        <v>45762</v>
      </c>
      <c r="D276" t="inlineStr">
        <is>
          <t>VÄSTMANLANDS LÄN</t>
        </is>
      </c>
      <c r="E276" t="inlineStr">
        <is>
          <t>NORBERG</t>
        </is>
      </c>
      <c r="F276" t="inlineStr">
        <is>
          <t>Sveaskog</t>
        </is>
      </c>
      <c r="G276" t="n">
        <v>2.8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40144-2023</t>
        </is>
      </c>
      <c r="B277" s="1" t="n">
        <v>45169</v>
      </c>
      <c r="C277" s="1" t="n">
        <v>45762</v>
      </c>
      <c r="D277" t="inlineStr">
        <is>
          <t>VÄSTMANLANDS LÄN</t>
        </is>
      </c>
      <c r="E277" t="inlineStr">
        <is>
          <t>NORBERG</t>
        </is>
      </c>
      <c r="F277" t="inlineStr">
        <is>
          <t>Sveaskog</t>
        </is>
      </c>
      <c r="G277" t="n">
        <v>5.5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40140-2023</t>
        </is>
      </c>
      <c r="B278" s="1" t="n">
        <v>45169</v>
      </c>
      <c r="C278" s="1" t="n">
        <v>45762</v>
      </c>
      <c r="D278" t="inlineStr">
        <is>
          <t>VÄSTMANLANDS LÄN</t>
        </is>
      </c>
      <c r="E278" t="inlineStr">
        <is>
          <t>NORBERG</t>
        </is>
      </c>
      <c r="F278" t="inlineStr">
        <is>
          <t>Sveaskog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40145-2023</t>
        </is>
      </c>
      <c r="B279" s="1" t="n">
        <v>45169</v>
      </c>
      <c r="C279" s="1" t="n">
        <v>45762</v>
      </c>
      <c r="D279" t="inlineStr">
        <is>
          <t>VÄSTMANLANDS LÄN</t>
        </is>
      </c>
      <c r="E279" t="inlineStr">
        <is>
          <t>NORBERG</t>
        </is>
      </c>
      <c r="F279" t="inlineStr">
        <is>
          <t>Sveaskog</t>
        </is>
      </c>
      <c r="G279" t="n">
        <v>1.7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40141-2023</t>
        </is>
      </c>
      <c r="B280" s="1" t="n">
        <v>45169</v>
      </c>
      <c r="C280" s="1" t="n">
        <v>45762</v>
      </c>
      <c r="D280" t="inlineStr">
        <is>
          <t>VÄSTMANLANDS LÄN</t>
        </is>
      </c>
      <c r="E280" t="inlineStr">
        <is>
          <t>NORBERG</t>
        </is>
      </c>
      <c r="F280" t="inlineStr">
        <is>
          <t>Sveaskog</t>
        </is>
      </c>
      <c r="G280" t="n">
        <v>1.6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40153-2023</t>
        </is>
      </c>
      <c r="B281" s="1" t="n">
        <v>45169</v>
      </c>
      <c r="C281" s="1" t="n">
        <v>45762</v>
      </c>
      <c r="D281" t="inlineStr">
        <is>
          <t>VÄSTMANLANDS LÄN</t>
        </is>
      </c>
      <c r="E281" t="inlineStr">
        <is>
          <t>NORBERG</t>
        </is>
      </c>
      <c r="F281" t="inlineStr">
        <is>
          <t>Sveaskog</t>
        </is>
      </c>
      <c r="G281" t="n">
        <v>4.5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40150-2023</t>
        </is>
      </c>
      <c r="B282" s="1" t="n">
        <v>45169</v>
      </c>
      <c r="C282" s="1" t="n">
        <v>45762</v>
      </c>
      <c r="D282" t="inlineStr">
        <is>
          <t>VÄSTMANLANDS LÄN</t>
        </is>
      </c>
      <c r="E282" t="inlineStr">
        <is>
          <t>NORBERG</t>
        </is>
      </c>
      <c r="F282" t="inlineStr">
        <is>
          <t>Sveaskog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40154-2023</t>
        </is>
      </c>
      <c r="B283" s="1" t="n">
        <v>45169</v>
      </c>
      <c r="C283" s="1" t="n">
        <v>45762</v>
      </c>
      <c r="D283" t="inlineStr">
        <is>
          <t>VÄSTMANLANDS LÄN</t>
        </is>
      </c>
      <c r="E283" t="inlineStr">
        <is>
          <t>NORBERG</t>
        </is>
      </c>
      <c r="F283" t="inlineStr">
        <is>
          <t>Sveaskog</t>
        </is>
      </c>
      <c r="G283" t="n">
        <v>4.6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40893-2023</t>
        </is>
      </c>
      <c r="B284" s="1" t="n">
        <v>45173</v>
      </c>
      <c r="C284" s="1" t="n">
        <v>45762</v>
      </c>
      <c r="D284" t="inlineStr">
        <is>
          <t>VÄSTMANLANDS LÄN</t>
        </is>
      </c>
      <c r="E284" t="inlineStr">
        <is>
          <t>NORBERG</t>
        </is>
      </c>
      <c r="G284" t="n">
        <v>0.7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42195-2023</t>
        </is>
      </c>
      <c r="B285" s="1" t="n">
        <v>45179</v>
      </c>
      <c r="C285" s="1" t="n">
        <v>45762</v>
      </c>
      <c r="D285" t="inlineStr">
        <is>
          <t>VÄSTMANLANDS LÄN</t>
        </is>
      </c>
      <c r="E285" t="inlineStr">
        <is>
          <t>NORBERG</t>
        </is>
      </c>
      <c r="F285" t="inlineStr">
        <is>
          <t>Sveaskog</t>
        </is>
      </c>
      <c r="G285" t="n">
        <v>1.1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42197-2023</t>
        </is>
      </c>
      <c r="B286" s="1" t="n">
        <v>45179</v>
      </c>
      <c r="C286" s="1" t="n">
        <v>45762</v>
      </c>
      <c r="D286" t="inlineStr">
        <is>
          <t>VÄSTMANLANDS LÄN</t>
        </is>
      </c>
      <c r="E286" t="inlineStr">
        <is>
          <t>NORBERG</t>
        </is>
      </c>
      <c r="F286" t="inlineStr">
        <is>
          <t>Sveaskog</t>
        </is>
      </c>
      <c r="G286" t="n">
        <v>10.5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42198-2023</t>
        </is>
      </c>
      <c r="B287" s="1" t="n">
        <v>45179</v>
      </c>
      <c r="C287" s="1" t="n">
        <v>45762</v>
      </c>
      <c r="D287" t="inlineStr">
        <is>
          <t>VÄSTMANLANDS LÄN</t>
        </is>
      </c>
      <c r="E287" t="inlineStr">
        <is>
          <t>NORBERG</t>
        </is>
      </c>
      <c r="F287" t="inlineStr">
        <is>
          <t>Sveaskog</t>
        </is>
      </c>
      <c r="G287" t="n">
        <v>4.1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45051-2023</t>
        </is>
      </c>
      <c r="B288" s="1" t="n">
        <v>45191</v>
      </c>
      <c r="C288" s="1" t="n">
        <v>45762</v>
      </c>
      <c r="D288" t="inlineStr">
        <is>
          <t>VÄSTMANLANDS LÄN</t>
        </is>
      </c>
      <c r="E288" t="inlineStr">
        <is>
          <t>NORBERG</t>
        </is>
      </c>
      <c r="F288" t="inlineStr">
        <is>
          <t>Bergvik skog väst AB</t>
        </is>
      </c>
      <c r="G288" t="n">
        <v>8.9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45065-2023</t>
        </is>
      </c>
      <c r="B289" s="1" t="n">
        <v>45191</v>
      </c>
      <c r="C289" s="1" t="n">
        <v>45762</v>
      </c>
      <c r="D289" t="inlineStr">
        <is>
          <t>VÄSTMANLANDS LÄN</t>
        </is>
      </c>
      <c r="E289" t="inlineStr">
        <is>
          <t>NORBERG</t>
        </is>
      </c>
      <c r="F289" t="inlineStr">
        <is>
          <t>Bergvik skog väst AB</t>
        </is>
      </c>
      <c r="G289" t="n">
        <v>4.5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45066-2023</t>
        </is>
      </c>
      <c r="B290" s="1" t="n">
        <v>45191</v>
      </c>
      <c r="C290" s="1" t="n">
        <v>45762</v>
      </c>
      <c r="D290" t="inlineStr">
        <is>
          <t>VÄSTMANLANDS LÄN</t>
        </is>
      </c>
      <c r="E290" t="inlineStr">
        <is>
          <t>NORBERG</t>
        </is>
      </c>
      <c r="F290" t="inlineStr">
        <is>
          <t>Bergvik skog väst AB</t>
        </is>
      </c>
      <c r="G290" t="n">
        <v>3.7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46041-2023</t>
        </is>
      </c>
      <c r="B291" s="1" t="n">
        <v>45196</v>
      </c>
      <c r="C291" s="1" t="n">
        <v>45762</v>
      </c>
      <c r="D291" t="inlineStr">
        <is>
          <t>VÄSTMANLANDS LÄN</t>
        </is>
      </c>
      <c r="E291" t="inlineStr">
        <is>
          <t>NORBERG</t>
        </is>
      </c>
      <c r="F291" t="inlineStr">
        <is>
          <t>Bergvik skog väst AB</t>
        </is>
      </c>
      <c r="G291" t="n">
        <v>3.1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46036-2023</t>
        </is>
      </c>
      <c r="B292" s="1" t="n">
        <v>45196</v>
      </c>
      <c r="C292" s="1" t="n">
        <v>45762</v>
      </c>
      <c r="D292" t="inlineStr">
        <is>
          <t>VÄSTMANLANDS LÄN</t>
        </is>
      </c>
      <c r="E292" t="inlineStr">
        <is>
          <t>NORBERG</t>
        </is>
      </c>
      <c r="F292" t="inlineStr">
        <is>
          <t>Bergvik skog väst AB</t>
        </is>
      </c>
      <c r="G292" t="n">
        <v>3.6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46045-2023</t>
        </is>
      </c>
      <c r="B293" s="1" t="n">
        <v>45196</v>
      </c>
      <c r="C293" s="1" t="n">
        <v>45762</v>
      </c>
      <c r="D293" t="inlineStr">
        <is>
          <t>VÄSTMANLANDS LÄN</t>
        </is>
      </c>
      <c r="E293" t="inlineStr">
        <is>
          <t>NORBERG</t>
        </is>
      </c>
      <c r="F293" t="inlineStr">
        <is>
          <t>Bergvik skog väst AB</t>
        </is>
      </c>
      <c r="G293" t="n">
        <v>2.2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46664-2023</t>
        </is>
      </c>
      <c r="B294" s="1" t="n">
        <v>45198</v>
      </c>
      <c r="C294" s="1" t="n">
        <v>45762</v>
      </c>
      <c r="D294" t="inlineStr">
        <is>
          <t>VÄSTMANLANDS LÄN</t>
        </is>
      </c>
      <c r="E294" t="inlineStr">
        <is>
          <t>NORBERG</t>
        </is>
      </c>
      <c r="G294" t="n">
        <v>1.8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46864-2023</t>
        </is>
      </c>
      <c r="B295" s="1" t="n">
        <v>45200</v>
      </c>
      <c r="C295" s="1" t="n">
        <v>45762</v>
      </c>
      <c r="D295" t="inlineStr">
        <is>
          <t>VÄSTMANLANDS LÄN</t>
        </is>
      </c>
      <c r="E295" t="inlineStr">
        <is>
          <t>NORBERG</t>
        </is>
      </c>
      <c r="F295" t="inlineStr">
        <is>
          <t>Sveaskog</t>
        </is>
      </c>
      <c r="G295" t="n">
        <v>4.4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46865-2023</t>
        </is>
      </c>
      <c r="B296" s="1" t="n">
        <v>45200</v>
      </c>
      <c r="C296" s="1" t="n">
        <v>45762</v>
      </c>
      <c r="D296" t="inlineStr">
        <is>
          <t>VÄSTMANLANDS LÄN</t>
        </is>
      </c>
      <c r="E296" t="inlineStr">
        <is>
          <t>NORBERG</t>
        </is>
      </c>
      <c r="F296" t="inlineStr">
        <is>
          <t>Sveaskog</t>
        </is>
      </c>
      <c r="G296" t="n">
        <v>5.4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48399-2023</t>
        </is>
      </c>
      <c r="B297" s="1" t="n">
        <v>45205</v>
      </c>
      <c r="C297" s="1" t="n">
        <v>45762</v>
      </c>
      <c r="D297" t="inlineStr">
        <is>
          <t>VÄSTMANLANDS LÄN</t>
        </is>
      </c>
      <c r="E297" t="inlineStr">
        <is>
          <t>NORBERG</t>
        </is>
      </c>
      <c r="F297" t="inlineStr">
        <is>
          <t>Sveaskog</t>
        </is>
      </c>
      <c r="G297" t="n">
        <v>3.3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48398-2023</t>
        </is>
      </c>
      <c r="B298" s="1" t="n">
        <v>45205</v>
      </c>
      <c r="C298" s="1" t="n">
        <v>45762</v>
      </c>
      <c r="D298" t="inlineStr">
        <is>
          <t>VÄSTMANLANDS LÄN</t>
        </is>
      </c>
      <c r="E298" t="inlineStr">
        <is>
          <t>NORBERG</t>
        </is>
      </c>
      <c r="F298" t="inlineStr">
        <is>
          <t>Sveaskog</t>
        </is>
      </c>
      <c r="G298" t="n">
        <v>1.7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48177-2023</t>
        </is>
      </c>
      <c r="B299" s="1" t="n">
        <v>45205</v>
      </c>
      <c r="C299" s="1" t="n">
        <v>45762</v>
      </c>
      <c r="D299" t="inlineStr">
        <is>
          <t>VÄSTMANLANDS LÄN</t>
        </is>
      </c>
      <c r="E299" t="inlineStr">
        <is>
          <t>NORBERG</t>
        </is>
      </c>
      <c r="F299" t="inlineStr">
        <is>
          <t>Övriga Aktiebolag</t>
        </is>
      </c>
      <c r="G299" t="n">
        <v>18.4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48396-2023</t>
        </is>
      </c>
      <c r="B300" s="1" t="n">
        <v>45205</v>
      </c>
      <c r="C300" s="1" t="n">
        <v>45762</v>
      </c>
      <c r="D300" t="inlineStr">
        <is>
          <t>VÄSTMANLANDS LÄN</t>
        </is>
      </c>
      <c r="E300" t="inlineStr">
        <is>
          <t>NORBERG</t>
        </is>
      </c>
      <c r="F300" t="inlineStr">
        <is>
          <t>Sveaskog</t>
        </is>
      </c>
      <c r="G300" t="n">
        <v>2.4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49110-2023</t>
        </is>
      </c>
      <c r="B301" s="1" t="n">
        <v>45210</v>
      </c>
      <c r="C301" s="1" t="n">
        <v>45762</v>
      </c>
      <c r="D301" t="inlineStr">
        <is>
          <t>VÄSTMANLANDS LÄN</t>
        </is>
      </c>
      <c r="E301" t="inlineStr">
        <is>
          <t>NORBERG</t>
        </is>
      </c>
      <c r="F301" t="inlineStr">
        <is>
          <t>Bergvik skog väst AB</t>
        </is>
      </c>
      <c r="G301" t="n">
        <v>25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49101-2023</t>
        </is>
      </c>
      <c r="B302" s="1" t="n">
        <v>45210</v>
      </c>
      <c r="C302" s="1" t="n">
        <v>45762</v>
      </c>
      <c r="D302" t="inlineStr">
        <is>
          <t>VÄSTMANLANDS LÄN</t>
        </is>
      </c>
      <c r="E302" t="inlineStr">
        <is>
          <t>NORBERG</t>
        </is>
      </c>
      <c r="F302" t="inlineStr">
        <is>
          <t>Övriga Aktiebolag</t>
        </is>
      </c>
      <c r="G302" t="n">
        <v>5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49933-2023</t>
        </is>
      </c>
      <c r="B303" s="1" t="n">
        <v>45215</v>
      </c>
      <c r="C303" s="1" t="n">
        <v>45762</v>
      </c>
      <c r="D303" t="inlineStr">
        <is>
          <t>VÄSTMANLANDS LÄN</t>
        </is>
      </c>
      <c r="E303" t="inlineStr">
        <is>
          <t>NORBERG</t>
        </is>
      </c>
      <c r="F303" t="inlineStr">
        <is>
          <t>Bergvik skog väst AB</t>
        </is>
      </c>
      <c r="G303" t="n">
        <v>9.4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50198-2023</t>
        </is>
      </c>
      <c r="B304" s="1" t="n">
        <v>45215</v>
      </c>
      <c r="C304" s="1" t="n">
        <v>45762</v>
      </c>
      <c r="D304" t="inlineStr">
        <is>
          <t>VÄSTMANLANDS LÄN</t>
        </is>
      </c>
      <c r="E304" t="inlineStr">
        <is>
          <t>NORBERG</t>
        </is>
      </c>
      <c r="F304" t="inlineStr">
        <is>
          <t>Sveaskog</t>
        </is>
      </c>
      <c r="G304" t="n">
        <v>1.2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50452-2023</t>
        </is>
      </c>
      <c r="B305" s="1" t="n">
        <v>45216</v>
      </c>
      <c r="C305" s="1" t="n">
        <v>45762</v>
      </c>
      <c r="D305" t="inlineStr">
        <is>
          <t>VÄSTMANLANDS LÄN</t>
        </is>
      </c>
      <c r="E305" t="inlineStr">
        <is>
          <t>NORBERG</t>
        </is>
      </c>
      <c r="F305" t="inlineStr">
        <is>
          <t>Sveaskog</t>
        </is>
      </c>
      <c r="G305" t="n">
        <v>2.2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53030-2023</t>
        </is>
      </c>
      <c r="B306" s="1" t="n">
        <v>45226</v>
      </c>
      <c r="C306" s="1" t="n">
        <v>45762</v>
      </c>
      <c r="D306" t="inlineStr">
        <is>
          <t>VÄSTMANLANDS LÄN</t>
        </is>
      </c>
      <c r="E306" t="inlineStr">
        <is>
          <t>NORBERG</t>
        </is>
      </c>
      <c r="F306" t="inlineStr">
        <is>
          <t>Sveaskog</t>
        </is>
      </c>
      <c r="G306" t="n">
        <v>0.4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54306-2023</t>
        </is>
      </c>
      <c r="B307" s="1" t="n">
        <v>45232</v>
      </c>
      <c r="C307" s="1" t="n">
        <v>45762</v>
      </c>
      <c r="D307" t="inlineStr">
        <is>
          <t>VÄSTMANLANDS LÄN</t>
        </is>
      </c>
      <c r="E307" t="inlineStr">
        <is>
          <t>NORBERG</t>
        </is>
      </c>
      <c r="F307" t="inlineStr">
        <is>
          <t>Sveaskog</t>
        </is>
      </c>
      <c r="G307" t="n">
        <v>2.9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54573-2023</t>
        </is>
      </c>
      <c r="B308" s="1" t="n">
        <v>45233</v>
      </c>
      <c r="C308" s="1" t="n">
        <v>45762</v>
      </c>
      <c r="D308" t="inlineStr">
        <is>
          <t>VÄSTMANLANDS LÄN</t>
        </is>
      </c>
      <c r="E308" t="inlineStr">
        <is>
          <t>NORBERG</t>
        </is>
      </c>
      <c r="F308" t="inlineStr">
        <is>
          <t>Sveaskog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58233-2023</t>
        </is>
      </c>
      <c r="B309" s="1" t="n">
        <v>45250</v>
      </c>
      <c r="C309" s="1" t="n">
        <v>45762</v>
      </c>
      <c r="D309" t="inlineStr">
        <is>
          <t>VÄSTMANLANDS LÄN</t>
        </is>
      </c>
      <c r="E309" t="inlineStr">
        <is>
          <t>NORBERG</t>
        </is>
      </c>
      <c r="G309" t="n">
        <v>3.2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58238-2023</t>
        </is>
      </c>
      <c r="B310" s="1" t="n">
        <v>45250</v>
      </c>
      <c r="C310" s="1" t="n">
        <v>45762</v>
      </c>
      <c r="D310" t="inlineStr">
        <is>
          <t>VÄSTMANLANDS LÄN</t>
        </is>
      </c>
      <c r="E310" t="inlineStr">
        <is>
          <t>NORBERG</t>
        </is>
      </c>
      <c r="G310" t="n">
        <v>2.5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62318-2023</t>
        </is>
      </c>
      <c r="B311" s="1" t="n">
        <v>45266</v>
      </c>
      <c r="C311" s="1" t="n">
        <v>45762</v>
      </c>
      <c r="D311" t="inlineStr">
        <is>
          <t>VÄSTMANLANDS LÄN</t>
        </is>
      </c>
      <c r="E311" t="inlineStr">
        <is>
          <t>NORBERG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62477-2023</t>
        </is>
      </c>
      <c r="B312" s="1" t="n">
        <v>45268</v>
      </c>
      <c r="C312" s="1" t="n">
        <v>45762</v>
      </c>
      <c r="D312" t="inlineStr">
        <is>
          <t>VÄSTMANLANDS LÄN</t>
        </is>
      </c>
      <c r="E312" t="inlineStr">
        <is>
          <t>NORBERG</t>
        </is>
      </c>
      <c r="G312" t="n">
        <v>1.3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63495-2023</t>
        </is>
      </c>
      <c r="B313" s="1" t="n">
        <v>45274</v>
      </c>
      <c r="C313" s="1" t="n">
        <v>45762</v>
      </c>
      <c r="D313" t="inlineStr">
        <is>
          <t>VÄSTMANLANDS LÄN</t>
        </is>
      </c>
      <c r="E313" t="inlineStr">
        <is>
          <t>NORBERG</t>
        </is>
      </c>
      <c r="G313" t="n">
        <v>1.8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63505-2023</t>
        </is>
      </c>
      <c r="B314" s="1" t="n">
        <v>45274</v>
      </c>
      <c r="C314" s="1" t="n">
        <v>45762</v>
      </c>
      <c r="D314" t="inlineStr">
        <is>
          <t>VÄSTMANLANDS LÄN</t>
        </is>
      </c>
      <c r="E314" t="inlineStr">
        <is>
          <t>NORBERG</t>
        </is>
      </c>
      <c r="G314" t="n">
        <v>0.5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3131-2024</t>
        </is>
      </c>
      <c r="B315" s="1" t="n">
        <v>45316</v>
      </c>
      <c r="C315" s="1" t="n">
        <v>45762</v>
      </c>
      <c r="D315" t="inlineStr">
        <is>
          <t>VÄSTMANLANDS LÄN</t>
        </is>
      </c>
      <c r="E315" t="inlineStr">
        <is>
          <t>NORBERG</t>
        </is>
      </c>
      <c r="G315" t="n">
        <v>8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3587-2024</t>
        </is>
      </c>
      <c r="B316" s="1" t="n">
        <v>45320</v>
      </c>
      <c r="C316" s="1" t="n">
        <v>45762</v>
      </c>
      <c r="D316" t="inlineStr">
        <is>
          <t>VÄSTMANLANDS LÄN</t>
        </is>
      </c>
      <c r="E316" t="inlineStr">
        <is>
          <t>NORBERG</t>
        </is>
      </c>
      <c r="G316" t="n">
        <v>0.4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4599-2024</t>
        </is>
      </c>
      <c r="B317" s="1" t="n">
        <v>45328</v>
      </c>
      <c r="C317" s="1" t="n">
        <v>45762</v>
      </c>
      <c r="D317" t="inlineStr">
        <is>
          <t>VÄSTMANLANDS LÄN</t>
        </is>
      </c>
      <c r="E317" t="inlineStr">
        <is>
          <t>NORBERG</t>
        </is>
      </c>
      <c r="F317" t="inlineStr">
        <is>
          <t>Övriga Aktiebolag</t>
        </is>
      </c>
      <c r="G317" t="n">
        <v>3.9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9843-2024</t>
        </is>
      </c>
      <c r="B318" s="1" t="n">
        <v>45363</v>
      </c>
      <c r="C318" s="1" t="n">
        <v>45762</v>
      </c>
      <c r="D318" t="inlineStr">
        <is>
          <t>VÄSTMANLANDS LÄN</t>
        </is>
      </c>
      <c r="E318" t="inlineStr">
        <is>
          <t>NORBERG</t>
        </is>
      </c>
      <c r="G318" t="n">
        <v>8.199999999999999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9907-2024</t>
        </is>
      </c>
      <c r="B319" s="1" t="n">
        <v>45363</v>
      </c>
      <c r="C319" s="1" t="n">
        <v>45762</v>
      </c>
      <c r="D319" t="inlineStr">
        <is>
          <t>VÄSTMANLANDS LÄN</t>
        </is>
      </c>
      <c r="E319" t="inlineStr">
        <is>
          <t>NORBERG</t>
        </is>
      </c>
      <c r="G319" t="n">
        <v>2.7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10946-2024</t>
        </is>
      </c>
      <c r="B320" s="1" t="n">
        <v>45370</v>
      </c>
      <c r="C320" s="1" t="n">
        <v>45762</v>
      </c>
      <c r="D320" t="inlineStr">
        <is>
          <t>VÄSTMANLANDS LÄN</t>
        </is>
      </c>
      <c r="E320" t="inlineStr">
        <is>
          <t>NORBERG</t>
        </is>
      </c>
      <c r="G320" t="n">
        <v>2.5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11834-2024</t>
        </is>
      </c>
      <c r="B321" s="1" t="n">
        <v>45376</v>
      </c>
      <c r="C321" s="1" t="n">
        <v>45762</v>
      </c>
      <c r="D321" t="inlineStr">
        <is>
          <t>VÄSTMANLANDS LÄN</t>
        </is>
      </c>
      <c r="E321" t="inlineStr">
        <is>
          <t>NORBERG</t>
        </is>
      </c>
      <c r="G321" t="n">
        <v>2.9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13654-2024</t>
        </is>
      </c>
      <c r="B322" s="1" t="n">
        <v>45390</v>
      </c>
      <c r="C322" s="1" t="n">
        <v>45762</v>
      </c>
      <c r="D322" t="inlineStr">
        <is>
          <t>VÄSTMANLANDS LÄN</t>
        </is>
      </c>
      <c r="E322" t="inlineStr">
        <is>
          <t>NORBERG</t>
        </is>
      </c>
      <c r="G322" t="n">
        <v>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15834-2024</t>
        </is>
      </c>
      <c r="B323" s="1" t="n">
        <v>45404</v>
      </c>
      <c r="C323" s="1" t="n">
        <v>45762</v>
      </c>
      <c r="D323" t="inlineStr">
        <is>
          <t>VÄSTMANLANDS LÄN</t>
        </is>
      </c>
      <c r="E323" t="inlineStr">
        <is>
          <t>NORBERG</t>
        </is>
      </c>
      <c r="G323" t="n">
        <v>3.5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16042-2024</t>
        </is>
      </c>
      <c r="B324" s="1" t="n">
        <v>45405</v>
      </c>
      <c r="C324" s="1" t="n">
        <v>45762</v>
      </c>
      <c r="D324" t="inlineStr">
        <is>
          <t>VÄSTMANLANDS LÄN</t>
        </is>
      </c>
      <c r="E324" t="inlineStr">
        <is>
          <t>NORBERG</t>
        </is>
      </c>
      <c r="G324" t="n">
        <v>7.7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15974-2024</t>
        </is>
      </c>
      <c r="B325" s="1" t="n">
        <v>45405</v>
      </c>
      <c r="C325" s="1" t="n">
        <v>45762</v>
      </c>
      <c r="D325" t="inlineStr">
        <is>
          <t>VÄSTMANLANDS LÄN</t>
        </is>
      </c>
      <c r="E325" t="inlineStr">
        <is>
          <t>NORBERG</t>
        </is>
      </c>
      <c r="G325" t="n">
        <v>2.6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15890-2024</t>
        </is>
      </c>
      <c r="B326" s="1" t="n">
        <v>45405</v>
      </c>
      <c r="C326" s="1" t="n">
        <v>45762</v>
      </c>
      <c r="D326" t="inlineStr">
        <is>
          <t>VÄSTMANLANDS LÄN</t>
        </is>
      </c>
      <c r="E326" t="inlineStr">
        <is>
          <t>NORBERG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16629-2024</t>
        </is>
      </c>
      <c r="B327" s="1" t="n">
        <v>45408</v>
      </c>
      <c r="C327" s="1" t="n">
        <v>45762</v>
      </c>
      <c r="D327" t="inlineStr">
        <is>
          <t>VÄSTMANLANDS LÄN</t>
        </is>
      </c>
      <c r="E327" t="inlineStr">
        <is>
          <t>NORBERG</t>
        </is>
      </c>
      <c r="F327" t="inlineStr">
        <is>
          <t>Sveaskog</t>
        </is>
      </c>
      <c r="G327" t="n">
        <v>8.800000000000001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16503-2024</t>
        </is>
      </c>
      <c r="B328" s="1" t="n">
        <v>45408</v>
      </c>
      <c r="C328" s="1" t="n">
        <v>45762</v>
      </c>
      <c r="D328" t="inlineStr">
        <is>
          <t>VÄSTMANLANDS LÄN</t>
        </is>
      </c>
      <c r="E328" t="inlineStr">
        <is>
          <t>NORBERG</t>
        </is>
      </c>
      <c r="F328" t="inlineStr">
        <is>
          <t>Sveaskog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17029-2024</t>
        </is>
      </c>
      <c r="B329" s="1" t="n">
        <v>45411</v>
      </c>
      <c r="C329" s="1" t="n">
        <v>45762</v>
      </c>
      <c r="D329" t="inlineStr">
        <is>
          <t>VÄSTMANLANDS LÄN</t>
        </is>
      </c>
      <c r="E329" t="inlineStr">
        <is>
          <t>NORBERG</t>
        </is>
      </c>
      <c r="G329" t="n">
        <v>1.6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18190-2024</t>
        </is>
      </c>
      <c r="B330" s="1" t="n">
        <v>45420</v>
      </c>
      <c r="C330" s="1" t="n">
        <v>45762</v>
      </c>
      <c r="D330" t="inlineStr">
        <is>
          <t>VÄSTMANLANDS LÄN</t>
        </is>
      </c>
      <c r="E330" t="inlineStr">
        <is>
          <t>NORBERG</t>
        </is>
      </c>
      <c r="G330" t="n">
        <v>3.4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18124-2024</t>
        </is>
      </c>
      <c r="B331" s="1" t="n">
        <v>45420</v>
      </c>
      <c r="C331" s="1" t="n">
        <v>45762</v>
      </c>
      <c r="D331" t="inlineStr">
        <is>
          <t>VÄSTMANLANDS LÄN</t>
        </is>
      </c>
      <c r="E331" t="inlineStr">
        <is>
          <t>NORBERG</t>
        </is>
      </c>
      <c r="G331" t="n">
        <v>6.3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18128-2024</t>
        </is>
      </c>
      <c r="B332" s="1" t="n">
        <v>45420</v>
      </c>
      <c r="C332" s="1" t="n">
        <v>45762</v>
      </c>
      <c r="D332" t="inlineStr">
        <is>
          <t>VÄSTMANLANDS LÄN</t>
        </is>
      </c>
      <c r="E332" t="inlineStr">
        <is>
          <t>NORBERG</t>
        </is>
      </c>
      <c r="G332" t="n">
        <v>0.8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18295-2024</t>
        </is>
      </c>
      <c r="B333" s="1" t="n">
        <v>45421</v>
      </c>
      <c r="C333" s="1" t="n">
        <v>45762</v>
      </c>
      <c r="D333" t="inlineStr">
        <is>
          <t>VÄSTMANLANDS LÄN</t>
        </is>
      </c>
      <c r="E333" t="inlineStr">
        <is>
          <t>NORBERG</t>
        </is>
      </c>
      <c r="G333" t="n">
        <v>3.8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19462-2024</t>
        </is>
      </c>
      <c r="B334" s="1" t="n">
        <v>45429</v>
      </c>
      <c r="C334" s="1" t="n">
        <v>45762</v>
      </c>
      <c r="D334" t="inlineStr">
        <is>
          <t>VÄSTMANLANDS LÄN</t>
        </is>
      </c>
      <c r="E334" t="inlineStr">
        <is>
          <t>NORBERG</t>
        </is>
      </c>
      <c r="G334" t="n">
        <v>1.1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21232-2024</t>
        </is>
      </c>
      <c r="B335" s="1" t="n">
        <v>45440</v>
      </c>
      <c r="C335" s="1" t="n">
        <v>45762</v>
      </c>
      <c r="D335" t="inlineStr">
        <is>
          <t>VÄSTMANLANDS LÄN</t>
        </is>
      </c>
      <c r="E335" t="inlineStr">
        <is>
          <t>NORBERG</t>
        </is>
      </c>
      <c r="G335" t="n">
        <v>0.9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23702-2024</t>
        </is>
      </c>
      <c r="B336" s="1" t="n">
        <v>45454</v>
      </c>
      <c r="C336" s="1" t="n">
        <v>45762</v>
      </c>
      <c r="D336" t="inlineStr">
        <is>
          <t>VÄSTMANLANDS LÄN</t>
        </is>
      </c>
      <c r="E336" t="inlineStr">
        <is>
          <t>NORBERG</t>
        </is>
      </c>
      <c r="G336" t="n">
        <v>3.7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23705-2024</t>
        </is>
      </c>
      <c r="B337" s="1" t="n">
        <v>45454</v>
      </c>
      <c r="C337" s="1" t="n">
        <v>45762</v>
      </c>
      <c r="D337" t="inlineStr">
        <is>
          <t>VÄSTMANLANDS LÄN</t>
        </is>
      </c>
      <c r="E337" t="inlineStr">
        <is>
          <t>NORBERG</t>
        </is>
      </c>
      <c r="G337" t="n">
        <v>2.3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23899-2024</t>
        </is>
      </c>
      <c r="B338" s="1" t="n">
        <v>45455</v>
      </c>
      <c r="C338" s="1" t="n">
        <v>45762</v>
      </c>
      <c r="D338" t="inlineStr">
        <is>
          <t>VÄSTMANLANDS LÄN</t>
        </is>
      </c>
      <c r="E338" t="inlineStr">
        <is>
          <t>NORBERG</t>
        </is>
      </c>
      <c r="G338" t="n">
        <v>8.699999999999999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26519-2024</t>
        </is>
      </c>
      <c r="B339" s="1" t="n">
        <v>45469</v>
      </c>
      <c r="C339" s="1" t="n">
        <v>45762</v>
      </c>
      <c r="D339" t="inlineStr">
        <is>
          <t>VÄSTMANLANDS LÄN</t>
        </is>
      </c>
      <c r="E339" t="inlineStr">
        <is>
          <t>NORBERG</t>
        </is>
      </c>
      <c r="G339" t="n">
        <v>3.3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27580-2024</t>
        </is>
      </c>
      <c r="B340" s="1" t="n">
        <v>45474</v>
      </c>
      <c r="C340" s="1" t="n">
        <v>45762</v>
      </c>
      <c r="D340" t="inlineStr">
        <is>
          <t>VÄSTMANLANDS LÄN</t>
        </is>
      </c>
      <c r="E340" t="inlineStr">
        <is>
          <t>NORBERG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27589-2024</t>
        </is>
      </c>
      <c r="B341" s="1" t="n">
        <v>45474</v>
      </c>
      <c r="C341" s="1" t="n">
        <v>45762</v>
      </c>
      <c r="D341" t="inlineStr">
        <is>
          <t>VÄSTMANLANDS LÄN</t>
        </is>
      </c>
      <c r="E341" t="inlineStr">
        <is>
          <t>NORBERG</t>
        </is>
      </c>
      <c r="G341" t="n">
        <v>2.7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30358-2024</t>
        </is>
      </c>
      <c r="B342" s="1" t="n">
        <v>45491</v>
      </c>
      <c r="C342" s="1" t="n">
        <v>45762</v>
      </c>
      <c r="D342" t="inlineStr">
        <is>
          <t>VÄSTMANLANDS LÄN</t>
        </is>
      </c>
      <c r="E342" t="inlineStr">
        <is>
          <t>NORBERG</t>
        </is>
      </c>
      <c r="F342" t="inlineStr">
        <is>
          <t>Övriga Aktiebolag</t>
        </is>
      </c>
      <c r="G342" t="n">
        <v>1.9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36264-2024</t>
        </is>
      </c>
      <c r="B343" s="1" t="n">
        <v>45534</v>
      </c>
      <c r="C343" s="1" t="n">
        <v>45762</v>
      </c>
      <c r="D343" t="inlineStr">
        <is>
          <t>VÄSTMANLANDS LÄN</t>
        </is>
      </c>
      <c r="E343" t="inlineStr">
        <is>
          <t>NORBERG</t>
        </is>
      </c>
      <c r="G343" t="n">
        <v>1.3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36443-2024</t>
        </is>
      </c>
      <c r="B344" s="1" t="n">
        <v>45537</v>
      </c>
      <c r="C344" s="1" t="n">
        <v>45762</v>
      </c>
      <c r="D344" t="inlineStr">
        <is>
          <t>VÄSTMANLANDS LÄN</t>
        </is>
      </c>
      <c r="E344" t="inlineStr">
        <is>
          <t>NORBERG</t>
        </is>
      </c>
      <c r="G344" t="n">
        <v>0.8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38324-2024</t>
        </is>
      </c>
      <c r="B345" s="1" t="n">
        <v>45545</v>
      </c>
      <c r="C345" s="1" t="n">
        <v>45762</v>
      </c>
      <c r="D345" t="inlineStr">
        <is>
          <t>VÄSTMANLANDS LÄN</t>
        </is>
      </c>
      <c r="E345" t="inlineStr">
        <is>
          <t>NORBERG</t>
        </is>
      </c>
      <c r="G345" t="n">
        <v>0.8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39261-2024</t>
        </is>
      </c>
      <c r="B346" s="1" t="n">
        <v>45551</v>
      </c>
      <c r="C346" s="1" t="n">
        <v>45762</v>
      </c>
      <c r="D346" t="inlineStr">
        <is>
          <t>VÄSTMANLANDS LÄN</t>
        </is>
      </c>
      <c r="E346" t="inlineStr">
        <is>
          <t>NORBERG</t>
        </is>
      </c>
      <c r="F346" t="inlineStr">
        <is>
          <t>Övriga Aktiebolag</t>
        </is>
      </c>
      <c r="G346" t="n">
        <v>6.5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39255-2024</t>
        </is>
      </c>
      <c r="B347" s="1" t="n">
        <v>45551</v>
      </c>
      <c r="C347" s="1" t="n">
        <v>45762</v>
      </c>
      <c r="D347" t="inlineStr">
        <is>
          <t>VÄSTMANLANDS LÄN</t>
        </is>
      </c>
      <c r="E347" t="inlineStr">
        <is>
          <t>NORBERG</t>
        </is>
      </c>
      <c r="F347" t="inlineStr">
        <is>
          <t>Bergvik skog väst AB</t>
        </is>
      </c>
      <c r="G347" t="n">
        <v>2.1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39835-2024</t>
        </is>
      </c>
      <c r="B348" s="1" t="n">
        <v>45553</v>
      </c>
      <c r="C348" s="1" t="n">
        <v>45762</v>
      </c>
      <c r="D348" t="inlineStr">
        <is>
          <t>VÄSTMANLANDS LÄN</t>
        </is>
      </c>
      <c r="E348" t="inlineStr">
        <is>
          <t>NORBERG</t>
        </is>
      </c>
      <c r="F348" t="inlineStr">
        <is>
          <t>Bergvik skog väst AB</t>
        </is>
      </c>
      <c r="G348" t="n">
        <v>9.6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39837-2024</t>
        </is>
      </c>
      <c r="B349" s="1" t="n">
        <v>45553</v>
      </c>
      <c r="C349" s="1" t="n">
        <v>45762</v>
      </c>
      <c r="D349" t="inlineStr">
        <is>
          <t>VÄSTMANLANDS LÄN</t>
        </is>
      </c>
      <c r="E349" t="inlineStr">
        <is>
          <t>NORBERG</t>
        </is>
      </c>
      <c r="F349" t="inlineStr">
        <is>
          <t>Bergvik skog väst AB</t>
        </is>
      </c>
      <c r="G349" t="n">
        <v>1.2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40228-2024</t>
        </is>
      </c>
      <c r="B350" s="1" t="n">
        <v>45554</v>
      </c>
      <c r="C350" s="1" t="n">
        <v>45762</v>
      </c>
      <c r="D350" t="inlineStr">
        <is>
          <t>VÄSTMANLANDS LÄN</t>
        </is>
      </c>
      <c r="E350" t="inlineStr">
        <is>
          <t>NORBERG</t>
        </is>
      </c>
      <c r="G350" t="n">
        <v>1.7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40232-2024</t>
        </is>
      </c>
      <c r="B351" s="1" t="n">
        <v>45554</v>
      </c>
      <c r="C351" s="1" t="n">
        <v>45762</v>
      </c>
      <c r="D351" t="inlineStr">
        <is>
          <t>VÄSTMANLANDS LÄN</t>
        </is>
      </c>
      <c r="E351" t="inlineStr">
        <is>
          <t>NORBERG</t>
        </is>
      </c>
      <c r="G351" t="n">
        <v>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41448-2024</t>
        </is>
      </c>
      <c r="B352" s="1" t="n">
        <v>45560</v>
      </c>
      <c r="C352" s="1" t="n">
        <v>45762</v>
      </c>
      <c r="D352" t="inlineStr">
        <is>
          <t>VÄSTMANLANDS LÄN</t>
        </is>
      </c>
      <c r="E352" t="inlineStr">
        <is>
          <t>NORBERG</t>
        </is>
      </c>
      <c r="F352" t="inlineStr">
        <is>
          <t>Bergvik skog väst AB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41444-2024</t>
        </is>
      </c>
      <c r="B353" s="1" t="n">
        <v>45560</v>
      </c>
      <c r="C353" s="1" t="n">
        <v>45762</v>
      </c>
      <c r="D353" t="inlineStr">
        <is>
          <t>VÄSTMANLANDS LÄN</t>
        </is>
      </c>
      <c r="E353" t="inlineStr">
        <is>
          <t>NORBERG</t>
        </is>
      </c>
      <c r="F353" t="inlineStr">
        <is>
          <t>Övriga Aktiebolag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43103-2024</t>
        </is>
      </c>
      <c r="B354" s="1" t="n">
        <v>45567</v>
      </c>
      <c r="C354" s="1" t="n">
        <v>45762</v>
      </c>
      <c r="D354" t="inlineStr">
        <is>
          <t>VÄSTMANLANDS LÄN</t>
        </is>
      </c>
      <c r="E354" t="inlineStr">
        <is>
          <t>NORBERG</t>
        </is>
      </c>
      <c r="G354" t="n">
        <v>0.5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43073-2024</t>
        </is>
      </c>
      <c r="B355" s="1" t="n">
        <v>45567</v>
      </c>
      <c r="C355" s="1" t="n">
        <v>45762</v>
      </c>
      <c r="D355" t="inlineStr">
        <is>
          <t>VÄSTMANLANDS LÄN</t>
        </is>
      </c>
      <c r="E355" t="inlineStr">
        <is>
          <t>NORBERG</t>
        </is>
      </c>
      <c r="G355" t="n">
        <v>0.5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45290-2024</t>
        </is>
      </c>
      <c r="B356" s="1" t="n">
        <v>45576</v>
      </c>
      <c r="C356" s="1" t="n">
        <v>45762</v>
      </c>
      <c r="D356" t="inlineStr">
        <is>
          <t>VÄSTMANLANDS LÄN</t>
        </is>
      </c>
      <c r="E356" t="inlineStr">
        <is>
          <t>NORBERG</t>
        </is>
      </c>
      <c r="F356" t="inlineStr">
        <is>
          <t>Övriga Aktiebolag</t>
        </is>
      </c>
      <c r="G356" t="n">
        <v>9.300000000000001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45430-2024</t>
        </is>
      </c>
      <c r="B357" s="1" t="n">
        <v>45576</v>
      </c>
      <c r="C357" s="1" t="n">
        <v>45762</v>
      </c>
      <c r="D357" t="inlineStr">
        <is>
          <t>VÄSTMANLANDS LÄN</t>
        </is>
      </c>
      <c r="E357" t="inlineStr">
        <is>
          <t>NORBERG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45289-2024</t>
        </is>
      </c>
      <c r="B358" s="1" t="n">
        <v>45576</v>
      </c>
      <c r="C358" s="1" t="n">
        <v>45762</v>
      </c>
      <c r="D358" t="inlineStr">
        <is>
          <t>VÄSTMANLANDS LÄN</t>
        </is>
      </c>
      <c r="E358" t="inlineStr">
        <is>
          <t>NORBERG</t>
        </is>
      </c>
      <c r="F358" t="inlineStr">
        <is>
          <t>Övriga Aktiebolag</t>
        </is>
      </c>
      <c r="G358" t="n">
        <v>9.300000000000001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46077-2024</t>
        </is>
      </c>
      <c r="B359" s="1" t="n">
        <v>45581</v>
      </c>
      <c r="C359" s="1" t="n">
        <v>45762</v>
      </c>
      <c r="D359" t="inlineStr">
        <is>
          <t>VÄSTMANLANDS LÄN</t>
        </is>
      </c>
      <c r="E359" t="inlineStr">
        <is>
          <t>NORBERG</t>
        </is>
      </c>
      <c r="G359" t="n">
        <v>1.9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46688-2024</t>
        </is>
      </c>
      <c r="B360" s="1" t="n">
        <v>45583</v>
      </c>
      <c r="C360" s="1" t="n">
        <v>45762</v>
      </c>
      <c r="D360" t="inlineStr">
        <is>
          <t>VÄSTMANLANDS LÄN</t>
        </is>
      </c>
      <c r="E360" t="inlineStr">
        <is>
          <t>NORBERG</t>
        </is>
      </c>
      <c r="F360" t="inlineStr">
        <is>
          <t>Sveaskog</t>
        </is>
      </c>
      <c r="G360" t="n">
        <v>7.5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46683-2024</t>
        </is>
      </c>
      <c r="B361" s="1" t="n">
        <v>45583</v>
      </c>
      <c r="C361" s="1" t="n">
        <v>45762</v>
      </c>
      <c r="D361" t="inlineStr">
        <is>
          <t>VÄSTMANLANDS LÄN</t>
        </is>
      </c>
      <c r="E361" t="inlineStr">
        <is>
          <t>NORBERG</t>
        </is>
      </c>
      <c r="F361" t="inlineStr">
        <is>
          <t>Sveaskog</t>
        </is>
      </c>
      <c r="G361" t="n">
        <v>3.7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46686-2024</t>
        </is>
      </c>
      <c r="B362" s="1" t="n">
        <v>45583</v>
      </c>
      <c r="C362" s="1" t="n">
        <v>45762</v>
      </c>
      <c r="D362" t="inlineStr">
        <is>
          <t>VÄSTMANLANDS LÄN</t>
        </is>
      </c>
      <c r="E362" t="inlineStr">
        <is>
          <t>NORBERG</t>
        </is>
      </c>
      <c r="F362" t="inlineStr">
        <is>
          <t>Sveaskog</t>
        </is>
      </c>
      <c r="G362" t="n">
        <v>5.7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47142-2024</t>
        </is>
      </c>
      <c r="B363" s="1" t="n">
        <v>45586</v>
      </c>
      <c r="C363" s="1" t="n">
        <v>45762</v>
      </c>
      <c r="D363" t="inlineStr">
        <is>
          <t>VÄSTMANLANDS LÄN</t>
        </is>
      </c>
      <c r="E363" t="inlineStr">
        <is>
          <t>NORBERG</t>
        </is>
      </c>
      <c r="F363" t="inlineStr">
        <is>
          <t>Sveaskog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47029-2024</t>
        </is>
      </c>
      <c r="B364" s="1" t="n">
        <v>45586</v>
      </c>
      <c r="C364" s="1" t="n">
        <v>45762</v>
      </c>
      <c r="D364" t="inlineStr">
        <is>
          <t>VÄSTMANLANDS LÄN</t>
        </is>
      </c>
      <c r="E364" t="inlineStr">
        <is>
          <t>NORBERG</t>
        </is>
      </c>
      <c r="G364" t="n">
        <v>3.3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47562-2024</t>
        </is>
      </c>
      <c r="B365" s="1" t="n">
        <v>45587</v>
      </c>
      <c r="C365" s="1" t="n">
        <v>45762</v>
      </c>
      <c r="D365" t="inlineStr">
        <is>
          <t>VÄSTMANLANDS LÄN</t>
        </is>
      </c>
      <c r="E365" t="inlineStr">
        <is>
          <t>NORBERG</t>
        </is>
      </c>
      <c r="G365" t="n">
        <v>2.2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47753-2024</t>
        </is>
      </c>
      <c r="B366" s="1" t="n">
        <v>45588</v>
      </c>
      <c r="C366" s="1" t="n">
        <v>45762</v>
      </c>
      <c r="D366" t="inlineStr">
        <is>
          <t>VÄSTMANLANDS LÄN</t>
        </is>
      </c>
      <c r="E366" t="inlineStr">
        <is>
          <t>NORBERG</t>
        </is>
      </c>
      <c r="G366" t="n">
        <v>2.9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47846-2024</t>
        </is>
      </c>
      <c r="B367" s="1" t="n">
        <v>45588</v>
      </c>
      <c r="C367" s="1" t="n">
        <v>45762</v>
      </c>
      <c r="D367" t="inlineStr">
        <is>
          <t>VÄSTMANLANDS LÄN</t>
        </is>
      </c>
      <c r="E367" t="inlineStr">
        <is>
          <t>NORBERG</t>
        </is>
      </c>
      <c r="G367" t="n">
        <v>0.7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48075-2024</t>
        </is>
      </c>
      <c r="B368" s="1" t="n">
        <v>45589</v>
      </c>
      <c r="C368" s="1" t="n">
        <v>45762</v>
      </c>
      <c r="D368" t="inlineStr">
        <is>
          <t>VÄSTMANLANDS LÄN</t>
        </is>
      </c>
      <c r="E368" t="inlineStr">
        <is>
          <t>NORBERG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48853-2024</t>
        </is>
      </c>
      <c r="B369" s="1" t="n">
        <v>45593</v>
      </c>
      <c r="C369" s="1" t="n">
        <v>45762</v>
      </c>
      <c r="D369" t="inlineStr">
        <is>
          <t>VÄSTMANLANDS LÄN</t>
        </is>
      </c>
      <c r="E369" t="inlineStr">
        <is>
          <t>NORBERG</t>
        </is>
      </c>
      <c r="G369" t="n">
        <v>2.3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49132-2024</t>
        </is>
      </c>
      <c r="B370" s="1" t="n">
        <v>45594</v>
      </c>
      <c r="C370" s="1" t="n">
        <v>45762</v>
      </c>
      <c r="D370" t="inlineStr">
        <is>
          <t>VÄSTMANLANDS LÄN</t>
        </is>
      </c>
      <c r="E370" t="inlineStr">
        <is>
          <t>NORBERG</t>
        </is>
      </c>
      <c r="G370" t="n">
        <v>1.5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49763-2024</t>
        </is>
      </c>
      <c r="B371" s="1" t="n">
        <v>45597</v>
      </c>
      <c r="C371" s="1" t="n">
        <v>45762</v>
      </c>
      <c r="D371" t="inlineStr">
        <is>
          <t>VÄSTMANLANDS LÄN</t>
        </is>
      </c>
      <c r="E371" t="inlineStr">
        <is>
          <t>NORBERG</t>
        </is>
      </c>
      <c r="G371" t="n">
        <v>2.1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50005-2024</t>
        </is>
      </c>
      <c r="B372" s="1" t="n">
        <v>45598</v>
      </c>
      <c r="C372" s="1" t="n">
        <v>45762</v>
      </c>
      <c r="D372" t="inlineStr">
        <is>
          <t>VÄSTMANLANDS LÄN</t>
        </is>
      </c>
      <c r="E372" t="inlineStr">
        <is>
          <t>NORBERG</t>
        </is>
      </c>
      <c r="F372" t="inlineStr">
        <is>
          <t>Sveaskog</t>
        </is>
      </c>
      <c r="G372" t="n">
        <v>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50004-2024</t>
        </is>
      </c>
      <c r="B373" s="1" t="n">
        <v>45598</v>
      </c>
      <c r="C373" s="1" t="n">
        <v>45762</v>
      </c>
      <c r="D373" t="inlineStr">
        <is>
          <t>VÄSTMANLANDS LÄN</t>
        </is>
      </c>
      <c r="E373" t="inlineStr">
        <is>
          <t>NORBERG</t>
        </is>
      </c>
      <c r="F373" t="inlineStr">
        <is>
          <t>Sveaskog</t>
        </is>
      </c>
      <c r="G373" t="n">
        <v>1.5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51120-2024</t>
        </is>
      </c>
      <c r="B374" s="1" t="n">
        <v>45603</v>
      </c>
      <c r="C374" s="1" t="n">
        <v>45762</v>
      </c>
      <c r="D374" t="inlineStr">
        <is>
          <t>VÄSTMANLANDS LÄN</t>
        </is>
      </c>
      <c r="E374" t="inlineStr">
        <is>
          <t>NORBERG</t>
        </is>
      </c>
      <c r="F374" t="inlineStr">
        <is>
          <t>Sveaskog</t>
        </is>
      </c>
      <c r="G374" t="n">
        <v>10.2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51113-2024</t>
        </is>
      </c>
      <c r="B375" s="1" t="n">
        <v>45603</v>
      </c>
      <c r="C375" s="1" t="n">
        <v>45762</v>
      </c>
      <c r="D375" t="inlineStr">
        <is>
          <t>VÄSTMANLANDS LÄN</t>
        </is>
      </c>
      <c r="E375" t="inlineStr">
        <is>
          <t>NORBERG</t>
        </is>
      </c>
      <c r="F375" t="inlineStr">
        <is>
          <t>Sveaskog</t>
        </is>
      </c>
      <c r="G375" t="n">
        <v>14.4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51798-2024</t>
        </is>
      </c>
      <c r="B376" s="1" t="n">
        <v>45607</v>
      </c>
      <c r="C376" s="1" t="n">
        <v>45762</v>
      </c>
      <c r="D376" t="inlineStr">
        <is>
          <t>VÄSTMANLANDS LÄN</t>
        </is>
      </c>
      <c r="E376" t="inlineStr">
        <is>
          <t>NORBERG</t>
        </is>
      </c>
      <c r="G376" t="n">
        <v>0.2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51791-2024</t>
        </is>
      </c>
      <c r="B377" s="1" t="n">
        <v>45607</v>
      </c>
      <c r="C377" s="1" t="n">
        <v>45762</v>
      </c>
      <c r="D377" t="inlineStr">
        <is>
          <t>VÄSTMANLANDS LÄN</t>
        </is>
      </c>
      <c r="E377" t="inlineStr">
        <is>
          <t>NORBERG</t>
        </is>
      </c>
      <c r="F377" t="inlineStr">
        <is>
          <t>Övriga Aktiebolag</t>
        </is>
      </c>
      <c r="G377" t="n">
        <v>4.2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51790-2024</t>
        </is>
      </c>
      <c r="B378" s="1" t="n">
        <v>45607</v>
      </c>
      <c r="C378" s="1" t="n">
        <v>45762</v>
      </c>
      <c r="D378" t="inlineStr">
        <is>
          <t>VÄSTMANLANDS LÄN</t>
        </is>
      </c>
      <c r="E378" t="inlineStr">
        <is>
          <t>NORBERG</t>
        </is>
      </c>
      <c r="G378" t="n">
        <v>0.1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51793-2024</t>
        </is>
      </c>
      <c r="B379" s="1" t="n">
        <v>45607</v>
      </c>
      <c r="C379" s="1" t="n">
        <v>45762</v>
      </c>
      <c r="D379" t="inlineStr">
        <is>
          <t>VÄSTMANLANDS LÄN</t>
        </is>
      </c>
      <c r="E379" t="inlineStr">
        <is>
          <t>NORBERG</t>
        </is>
      </c>
      <c r="G379" t="n">
        <v>0.1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51778-2024</t>
        </is>
      </c>
      <c r="B380" s="1" t="n">
        <v>45607</v>
      </c>
      <c r="C380" s="1" t="n">
        <v>45762</v>
      </c>
      <c r="D380" t="inlineStr">
        <is>
          <t>VÄSTMANLANDS LÄN</t>
        </is>
      </c>
      <c r="E380" t="inlineStr">
        <is>
          <t>NORBERG</t>
        </is>
      </c>
      <c r="G380" t="n">
        <v>0.8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52080-2024</t>
        </is>
      </c>
      <c r="B381" s="1" t="n">
        <v>45608</v>
      </c>
      <c r="C381" s="1" t="n">
        <v>45762</v>
      </c>
      <c r="D381" t="inlineStr">
        <is>
          <t>VÄSTMANLANDS LÄN</t>
        </is>
      </c>
      <c r="E381" t="inlineStr">
        <is>
          <t>NORBERG</t>
        </is>
      </c>
      <c r="F381" t="inlineStr">
        <is>
          <t>Övriga Aktiebolag</t>
        </is>
      </c>
      <c r="G381" t="n">
        <v>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53224-2024</t>
        </is>
      </c>
      <c r="B382" s="1" t="n">
        <v>45613</v>
      </c>
      <c r="C382" s="1" t="n">
        <v>45762</v>
      </c>
      <c r="D382" t="inlineStr">
        <is>
          <t>VÄSTMANLANDS LÄN</t>
        </is>
      </c>
      <c r="E382" t="inlineStr">
        <is>
          <t>NORBERG</t>
        </is>
      </c>
      <c r="G382" t="n">
        <v>0.4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53225-2024</t>
        </is>
      </c>
      <c r="B383" s="1" t="n">
        <v>45613</v>
      </c>
      <c r="C383" s="1" t="n">
        <v>45762</v>
      </c>
      <c r="D383" t="inlineStr">
        <is>
          <t>VÄSTMANLANDS LÄN</t>
        </is>
      </c>
      <c r="E383" t="inlineStr">
        <is>
          <t>NORBERG</t>
        </is>
      </c>
      <c r="G383" t="n">
        <v>2.1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54721-2024</t>
        </is>
      </c>
      <c r="B384" s="1" t="n">
        <v>45618</v>
      </c>
      <c r="C384" s="1" t="n">
        <v>45762</v>
      </c>
      <c r="D384" t="inlineStr">
        <is>
          <t>VÄSTMANLANDS LÄN</t>
        </is>
      </c>
      <c r="E384" t="inlineStr">
        <is>
          <t>NORBERG</t>
        </is>
      </c>
      <c r="G384" t="n">
        <v>5.8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55887-2024</t>
        </is>
      </c>
      <c r="B385" s="1" t="n">
        <v>45623</v>
      </c>
      <c r="C385" s="1" t="n">
        <v>45762</v>
      </c>
      <c r="D385" t="inlineStr">
        <is>
          <t>VÄSTMANLANDS LÄN</t>
        </is>
      </c>
      <c r="E385" t="inlineStr">
        <is>
          <t>NORBERG</t>
        </is>
      </c>
      <c r="F385" t="inlineStr">
        <is>
          <t>Övriga Aktiebolag</t>
        </is>
      </c>
      <c r="G385" t="n">
        <v>19.1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56159-2024</t>
        </is>
      </c>
      <c r="B386" s="1" t="n">
        <v>45623</v>
      </c>
      <c r="C386" s="1" t="n">
        <v>45762</v>
      </c>
      <c r="D386" t="inlineStr">
        <is>
          <t>VÄSTMANLANDS LÄN</t>
        </is>
      </c>
      <c r="E386" t="inlineStr">
        <is>
          <t>NORBERG</t>
        </is>
      </c>
      <c r="G386" t="n">
        <v>2.2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57993-2024</t>
        </is>
      </c>
      <c r="B387" s="1" t="n">
        <v>45631</v>
      </c>
      <c r="C387" s="1" t="n">
        <v>45762</v>
      </c>
      <c r="D387" t="inlineStr">
        <is>
          <t>VÄSTMANLANDS LÄN</t>
        </is>
      </c>
      <c r="E387" t="inlineStr">
        <is>
          <t>NORBERG</t>
        </is>
      </c>
      <c r="G387" t="n">
        <v>2.7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57990-2024</t>
        </is>
      </c>
      <c r="B388" s="1" t="n">
        <v>45631</v>
      </c>
      <c r="C388" s="1" t="n">
        <v>45762</v>
      </c>
      <c r="D388" t="inlineStr">
        <is>
          <t>VÄSTMANLANDS LÄN</t>
        </is>
      </c>
      <c r="E388" t="inlineStr">
        <is>
          <t>NORBERG</t>
        </is>
      </c>
      <c r="G388" t="n">
        <v>0.7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58616-2024</t>
        </is>
      </c>
      <c r="B389" s="1" t="n">
        <v>45632</v>
      </c>
      <c r="C389" s="1" t="n">
        <v>45762</v>
      </c>
      <c r="D389" t="inlineStr">
        <is>
          <t>VÄSTMANLANDS LÄN</t>
        </is>
      </c>
      <c r="E389" t="inlineStr">
        <is>
          <t>NORBERG</t>
        </is>
      </c>
      <c r="F389" t="inlineStr">
        <is>
          <t>Bergvik skog väst AB</t>
        </is>
      </c>
      <c r="G389" t="n">
        <v>4.7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59705-2024</t>
        </is>
      </c>
      <c r="B390" s="1" t="n">
        <v>45639</v>
      </c>
      <c r="C390" s="1" t="n">
        <v>45762</v>
      </c>
      <c r="D390" t="inlineStr">
        <is>
          <t>VÄSTMANLANDS LÄN</t>
        </is>
      </c>
      <c r="E390" t="inlineStr">
        <is>
          <t>NORBERG</t>
        </is>
      </c>
      <c r="G390" t="n">
        <v>2.6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1804-2025</t>
        </is>
      </c>
      <c r="B391" s="1" t="n">
        <v>45671</v>
      </c>
      <c r="C391" s="1" t="n">
        <v>45762</v>
      </c>
      <c r="D391" t="inlineStr">
        <is>
          <t>VÄSTMANLANDS LÄN</t>
        </is>
      </c>
      <c r="E391" t="inlineStr">
        <is>
          <t>NORBERG</t>
        </is>
      </c>
      <c r="F391" t="inlineStr">
        <is>
          <t>Övriga Aktiebolag</t>
        </is>
      </c>
      <c r="G391" t="n">
        <v>4.8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3354-2025</t>
        </is>
      </c>
      <c r="B392" s="1" t="n">
        <v>45679</v>
      </c>
      <c r="C392" s="1" t="n">
        <v>45762</v>
      </c>
      <c r="D392" t="inlineStr">
        <is>
          <t>VÄSTMANLANDS LÄN</t>
        </is>
      </c>
      <c r="E392" t="inlineStr">
        <is>
          <t>NORBERG</t>
        </is>
      </c>
      <c r="G392" t="n">
        <v>2.3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6388-2025</t>
        </is>
      </c>
      <c r="B393" s="1" t="n">
        <v>45699</v>
      </c>
      <c r="C393" s="1" t="n">
        <v>45762</v>
      </c>
      <c r="D393" t="inlineStr">
        <is>
          <t>VÄSTMANLANDS LÄN</t>
        </is>
      </c>
      <c r="E393" t="inlineStr">
        <is>
          <t>NORBERG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7488-2025</t>
        </is>
      </c>
      <c r="B394" s="1" t="n">
        <v>45705</v>
      </c>
      <c r="C394" s="1" t="n">
        <v>45762</v>
      </c>
      <c r="D394" t="inlineStr">
        <is>
          <t>VÄSTMANLANDS LÄN</t>
        </is>
      </c>
      <c r="E394" t="inlineStr">
        <is>
          <t>NORBERG</t>
        </is>
      </c>
      <c r="G394" t="n">
        <v>0.7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7417-2025</t>
        </is>
      </c>
      <c r="B395" s="1" t="n">
        <v>45705</v>
      </c>
      <c r="C395" s="1" t="n">
        <v>45762</v>
      </c>
      <c r="D395" t="inlineStr">
        <is>
          <t>VÄSTMANLANDS LÄN</t>
        </is>
      </c>
      <c r="E395" t="inlineStr">
        <is>
          <t>NORBERG</t>
        </is>
      </c>
      <c r="G395" t="n">
        <v>0.5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9075-2025</t>
        </is>
      </c>
      <c r="B396" s="1" t="n">
        <v>45713</v>
      </c>
      <c r="C396" s="1" t="n">
        <v>45762</v>
      </c>
      <c r="D396" t="inlineStr">
        <is>
          <t>VÄSTMANLANDS LÄN</t>
        </is>
      </c>
      <c r="E396" t="inlineStr">
        <is>
          <t>NORBERG</t>
        </is>
      </c>
      <c r="G396" t="n">
        <v>6.1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9013-2025</t>
        </is>
      </c>
      <c r="B397" s="1" t="n">
        <v>45713</v>
      </c>
      <c r="C397" s="1" t="n">
        <v>45762</v>
      </c>
      <c r="D397" t="inlineStr">
        <is>
          <t>VÄSTMANLANDS LÄN</t>
        </is>
      </c>
      <c r="E397" t="inlineStr">
        <is>
          <t>NORBERG</t>
        </is>
      </c>
      <c r="G397" t="n">
        <v>1.9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9201-2025</t>
        </is>
      </c>
      <c r="B398" s="1" t="n">
        <v>45714</v>
      </c>
      <c r="C398" s="1" t="n">
        <v>45762</v>
      </c>
      <c r="D398" t="inlineStr">
        <is>
          <t>VÄSTMANLANDS LÄN</t>
        </is>
      </c>
      <c r="E398" t="inlineStr">
        <is>
          <t>NORBERG</t>
        </is>
      </c>
      <c r="F398" t="inlineStr">
        <is>
          <t>Bergvik skog väst AB</t>
        </is>
      </c>
      <c r="G398" t="n">
        <v>15.4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9182-2025</t>
        </is>
      </c>
      <c r="B399" s="1" t="n">
        <v>45714</v>
      </c>
      <c r="C399" s="1" t="n">
        <v>45762</v>
      </c>
      <c r="D399" t="inlineStr">
        <is>
          <t>VÄSTMANLANDS LÄN</t>
        </is>
      </c>
      <c r="E399" t="inlineStr">
        <is>
          <t>NORBERG</t>
        </is>
      </c>
      <c r="F399" t="inlineStr">
        <is>
          <t>Övriga Aktiebolag</t>
        </is>
      </c>
      <c r="G399" t="n">
        <v>8.800000000000001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9627-2025</t>
        </is>
      </c>
      <c r="B400" s="1" t="n">
        <v>45715</v>
      </c>
      <c r="C400" s="1" t="n">
        <v>45762</v>
      </c>
      <c r="D400" t="inlineStr">
        <is>
          <t>VÄSTMANLANDS LÄN</t>
        </is>
      </c>
      <c r="E400" t="inlineStr">
        <is>
          <t>NORBERG</t>
        </is>
      </c>
      <c r="G400" t="n">
        <v>2.4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10472-2025</t>
        </is>
      </c>
      <c r="B401" s="1" t="n">
        <v>45720</v>
      </c>
      <c r="C401" s="1" t="n">
        <v>45762</v>
      </c>
      <c r="D401" t="inlineStr">
        <is>
          <t>VÄSTMANLANDS LÄN</t>
        </is>
      </c>
      <c r="E401" t="inlineStr">
        <is>
          <t>NORBERG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12110-2025</t>
        </is>
      </c>
      <c r="B402" s="1" t="n">
        <v>45729</v>
      </c>
      <c r="C402" s="1" t="n">
        <v>45762</v>
      </c>
      <c r="D402" t="inlineStr">
        <is>
          <t>VÄSTMANLANDS LÄN</t>
        </is>
      </c>
      <c r="E402" t="inlineStr">
        <is>
          <t>NORBERG</t>
        </is>
      </c>
      <c r="G402" t="n">
        <v>2.5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12526-2025</t>
        </is>
      </c>
      <c r="B403" s="1" t="n">
        <v>45730</v>
      </c>
      <c r="C403" s="1" t="n">
        <v>45762</v>
      </c>
      <c r="D403" t="inlineStr">
        <is>
          <t>VÄSTMANLANDS LÄN</t>
        </is>
      </c>
      <c r="E403" t="inlineStr">
        <is>
          <t>NORBERG</t>
        </is>
      </c>
      <c r="G403" t="n">
        <v>4.6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13838-2025</t>
        </is>
      </c>
      <c r="B404" s="1" t="n">
        <v>45737</v>
      </c>
      <c r="C404" s="1" t="n">
        <v>45762</v>
      </c>
      <c r="D404" t="inlineStr">
        <is>
          <t>VÄSTMANLANDS LÄN</t>
        </is>
      </c>
      <c r="E404" t="inlineStr">
        <is>
          <t>NORBERG</t>
        </is>
      </c>
      <c r="F404" t="inlineStr">
        <is>
          <t>Sveaskog</t>
        </is>
      </c>
      <c r="G404" t="n">
        <v>4.1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13837-2025</t>
        </is>
      </c>
      <c r="B405" s="1" t="n">
        <v>45737</v>
      </c>
      <c r="C405" s="1" t="n">
        <v>45762</v>
      </c>
      <c r="D405" t="inlineStr">
        <is>
          <t>VÄSTMANLANDS LÄN</t>
        </is>
      </c>
      <c r="E405" t="inlineStr">
        <is>
          <t>NORBERG</t>
        </is>
      </c>
      <c r="F405" t="inlineStr">
        <is>
          <t>Sveaskog</t>
        </is>
      </c>
      <c r="G405" t="n">
        <v>5.8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13835-2025</t>
        </is>
      </c>
      <c r="B406" s="1" t="n">
        <v>45737</v>
      </c>
      <c r="C406" s="1" t="n">
        <v>45762</v>
      </c>
      <c r="D406" t="inlineStr">
        <is>
          <t>VÄSTMANLANDS LÄN</t>
        </is>
      </c>
      <c r="E406" t="inlineStr">
        <is>
          <t>NORBERG</t>
        </is>
      </c>
      <c r="F406" t="inlineStr">
        <is>
          <t>Sveaskog</t>
        </is>
      </c>
      <c r="G406" t="n">
        <v>2.7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14158-2025</t>
        </is>
      </c>
      <c r="B407" s="1" t="n">
        <v>45740</v>
      </c>
      <c r="C407" s="1" t="n">
        <v>45762</v>
      </c>
      <c r="D407" t="inlineStr">
        <is>
          <t>VÄSTMANLANDS LÄN</t>
        </is>
      </c>
      <c r="E407" t="inlineStr">
        <is>
          <t>NORBERG</t>
        </is>
      </c>
      <c r="G407" t="n">
        <v>4.8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14112-2025</t>
        </is>
      </c>
      <c r="B408" s="1" t="n">
        <v>45740</v>
      </c>
      <c r="C408" s="1" t="n">
        <v>45762</v>
      </c>
      <c r="D408" t="inlineStr">
        <is>
          <t>VÄSTMANLANDS LÄN</t>
        </is>
      </c>
      <c r="E408" t="inlineStr">
        <is>
          <t>NORBERG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14159-2025</t>
        </is>
      </c>
      <c r="B409" s="1" t="n">
        <v>45740</v>
      </c>
      <c r="C409" s="1" t="n">
        <v>45762</v>
      </c>
      <c r="D409" t="inlineStr">
        <is>
          <t>VÄSTMANLANDS LÄN</t>
        </is>
      </c>
      <c r="E409" t="inlineStr">
        <is>
          <t>NORBERG</t>
        </is>
      </c>
      <c r="G409" t="n">
        <v>0.8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15809-2025</t>
        </is>
      </c>
      <c r="B410" s="1" t="n">
        <v>45748</v>
      </c>
      <c r="C410" s="1" t="n">
        <v>45762</v>
      </c>
      <c r="D410" t="inlineStr">
        <is>
          <t>VÄSTMANLANDS LÄN</t>
        </is>
      </c>
      <c r="E410" t="inlineStr">
        <is>
          <t>NORBERG</t>
        </is>
      </c>
      <c r="F410" t="inlineStr">
        <is>
          <t>Sveaskog</t>
        </is>
      </c>
      <c r="G410" t="n">
        <v>0.9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15810-2025</t>
        </is>
      </c>
      <c r="B411" s="1" t="n">
        <v>45748</v>
      </c>
      <c r="C411" s="1" t="n">
        <v>45762</v>
      </c>
      <c r="D411" t="inlineStr">
        <is>
          <t>VÄSTMANLANDS LÄN</t>
        </is>
      </c>
      <c r="E411" t="inlineStr">
        <is>
          <t>NORBERG</t>
        </is>
      </c>
      <c r="F411" t="inlineStr">
        <is>
          <t>Sveaskog</t>
        </is>
      </c>
      <c r="G411" t="n">
        <v>5.6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>
      <c r="A412" t="inlineStr">
        <is>
          <t>A 16565-2025</t>
        </is>
      </c>
      <c r="B412" s="1" t="n">
        <v>45752</v>
      </c>
      <c r="C412" s="1" t="n">
        <v>45762</v>
      </c>
      <c r="D412" t="inlineStr">
        <is>
          <t>VÄSTMANLANDS LÄN</t>
        </is>
      </c>
      <c r="E412" t="inlineStr">
        <is>
          <t>NORBERG</t>
        </is>
      </c>
      <c r="F412" t="inlineStr">
        <is>
          <t>Sveaskog</t>
        </is>
      </c>
      <c r="G412" t="n">
        <v>1.2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2025-04-15T16:16:12Z</dcterms:created>
  <dcterms:modified xmlns:dcterms="http://purl.org/dc/terms/" xmlns:xsi="http://www.w3.org/2001/XMLSchema-instance" xsi:type="dcterms:W3CDTF">2025-04-15T16:16:12Z</dcterms:modified>
</cp:coreProperties>
</file>