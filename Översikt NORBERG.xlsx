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46263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46263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46263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46263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46263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46263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46263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46263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46263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46263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52063-2022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46263</v>
      </c>
      <c r="F14" t="inlineStr">
        <is>
          <t>VÄSTMANLANDS LÄN</t>
        </is>
      </c>
      <c r="G14" t="inlineStr">
        <is>
          <t>NORBERG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52063-2022 artfynd.xlsx", "A 52063-2022")</f>
        <v/>
      </c>
      <c r="X14">
        <f>HYPERLINK("https://klasma.github.io/Logging_1962/kartor/A 52063-2022 karta.png", "A 52063-2022")</f>
        <v/>
      </c>
      <c r="Y14">
        <f>HYPERLINK("https://klasma.github.io/Logging_1962/kartor_geotiff/A 52063-2022 georefererad karta.tif", "A 52063-2022")</f>
        <v/>
      </c>
      <c r="AA14">
        <f>HYPERLINK("https://klasma.github.io/Logging_1962/klagomål/A 52063-2022 FSC-klagomål.docx", "A 52063-2022")</f>
        <v/>
      </c>
      <c r="AB14">
        <f>HYPERLINK("https://klasma.github.io/Logging_1962/klagomålsmail/A 52063-2022 FSC-klagomål mail.docx", "A 52063-2022")</f>
        <v/>
      </c>
      <c r="AC14">
        <f>HYPERLINK("https://klasma.github.io/Logging_1962/tillsyn/A 52063-2022 tillsynsbegäran.docx", "A 52063-2022")</f>
        <v/>
      </c>
      <c r="AD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46263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46263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56936-2021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44480</v>
      </c>
      <c r="E17" s="1" t="n">
        <v>46263</v>
      </c>
      <c r="F17" t="inlineStr">
        <is>
          <t>VÄSTMANLANDS LÄN</t>
        </is>
      </c>
      <c r="G17" t="inlineStr">
        <is>
          <t>NORBERG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HYPERLINK("https://klasma.github.io/Logging_1962/artfynd/A 56936-2021 artfynd.xlsx", "A 56936-2021")</f>
        <v/>
      </c>
      <c r="X17">
        <f>HYPERLINK("https://klasma.github.io/Logging_1962/kartor/A 56936-2021 karta.png", "A 56936-2021")</f>
        <v/>
      </c>
      <c r="Y17">
        <f>HYPERLINK("https://klasma.github.io/Logging_1962/kartor_geotiff/A 56936-2021 georefererad karta.tif", "A 56936-2021")</f>
        <v/>
      </c>
      <c r="AA17">
        <f>HYPERLINK("https://klasma.github.io/Logging_1962/klagomål/A 56936-2021 FSC-klagomål.docx", "A 56936-2021")</f>
        <v/>
      </c>
      <c r="AB17">
        <f>HYPERLINK("https://klasma.github.io/Logging_1962/klagomålsmail/A 56936-2021 FSC-klagomål mail.docx", "A 56936-2021")</f>
        <v/>
      </c>
      <c r="AC17">
        <f>HYPERLINK("https://klasma.github.io/Logging_1962/tillsyn/A 56936-2021 tillsynsbegäran.docx", "A 56936-2021")</f>
        <v/>
      </c>
      <c r="AD17">
        <f>HYPERLINK("https://klasma.github.io/Logging_1962/tillsynsmail/A 56936-2021 tillsynsbegäran mail.docx", "A 56936-2021")</f>
        <v/>
      </c>
    </row>
    <row r="18" ht="15" customHeight="1">
      <c r="A18" t="inlineStr">
        <is>
          <t>A 18464-2025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46263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1.1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Skogsknipprot</t>
        </is>
      </c>
      <c r="W18">
        <f>HYPERLINK("https://klasma.github.io/Logging_1962/artfynd/A 18464-2025 artfynd.xlsx", "A 18464-2025")</f>
        <v/>
      </c>
      <c r="X18">
        <f>HYPERLINK("https://klasma.github.io/Logging_1962/kartor/A 18464-2025 karta.png", "A 18464-2025")</f>
        <v/>
      </c>
      <c r="Y18">
        <f>HYPERLINK("https://klasma.github.io/Logging_1962/kartor_geotiff/A 18464-2025 georefererad karta.tif", "A 18464-2025")</f>
        <v/>
      </c>
      <c r="AA18">
        <f>HYPERLINK("https://klasma.github.io/Logging_1962/klagomål/A 18464-2025 FSC-klagomål.docx", "A 18464-2025")</f>
        <v/>
      </c>
      <c r="AB18">
        <f>HYPERLINK("https://klasma.github.io/Logging_1962/klagomålsmail/A 18464-2025 FSC-klagomål mail.docx", "A 18464-2025")</f>
        <v/>
      </c>
      <c r="AC18">
        <f>HYPERLINK("https://klasma.github.io/Logging_1962/tillsyn/A 18464-2025 tillsynsbegäran.docx", "A 18464-2025")</f>
        <v/>
      </c>
      <c r="AD18">
        <f>HYPERLINK("https://klasma.github.io/Logging_1962/tillsynsmail/A 18464-2025 tillsynsbegäran mail.docx", "A 18464-2025")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46263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46263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61099-2024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46263</v>
      </c>
      <c r="F21" t="inlineStr">
        <is>
          <t>VÄSTMANLANDS LÄN</t>
        </is>
      </c>
      <c r="G21" t="inlineStr">
        <is>
          <t>NORBERG</t>
        </is>
      </c>
      <c r="I21" t="n">
        <v>0.4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61099-2024 artfynd.xlsx", "A 61099-2024")</f>
        <v/>
      </c>
      <c r="X21">
        <f>HYPERLINK("https://klasma.github.io/Logging_1962/kartor/A 61099-2024 karta.png", "A 61099-2024")</f>
        <v/>
      </c>
      <c r="Y21">
        <f>HYPERLINK("https://klasma.github.io/Logging_1962/kartor_geotiff/A 61099-2024 georefererad karta.tif", "A 61099-2024")</f>
        <v/>
      </c>
      <c r="AA21">
        <f>HYPERLINK("https://klasma.github.io/Logging_1962/klagomål/A 61099-2024 FSC-klagomål.docx", "A 61099-2024")</f>
        <v/>
      </c>
      <c r="AB21">
        <f>HYPERLINK("https://klasma.github.io/Logging_1962/klagomålsmail/A 61099-2024 FSC-klagomål mail.docx", "A 61099-2024")</f>
        <v/>
      </c>
      <c r="AC21">
        <f>HYPERLINK("https://klasma.github.io/Logging_1962/tillsyn/A 61099-2024 tillsynsbegäran.docx", "A 61099-2024")</f>
        <v/>
      </c>
      <c r="AD21">
        <f>HYPERLINK("https://klasma.github.io/Logging_1962/tillsynsmail/A 61099-2024 tillsynsbegäran mail.docx", "A 61099-2024")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46263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46263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46263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S 4857-2024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45608</v>
      </c>
      <c r="E25" s="1" t="n">
        <v>46263</v>
      </c>
      <c r="F25" t="inlineStr">
        <is>
          <t>VÄSTMANLANDS LÄN</t>
        </is>
      </c>
      <c r="G25" t="inlineStr">
        <is>
          <t>NORBERG</t>
        </is>
      </c>
      <c r="I25" t="n">
        <v>79.3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HYPERLINK("https://klasma.github.io/Logging_1962/artfynd/S 4857-2024 artfynd.xlsx", "S 4857-2024")</f>
        <v/>
      </c>
      <c r="X25">
        <f>HYPERLINK("https://klasma.github.io/Logging_1962/kartor/S 4857-2024 karta.png", "S 4857-2024")</f>
        <v/>
      </c>
      <c r="Y25">
        <f>HYPERLINK("https://klasma.github.io/Logging_1962/kartor_geotiff/S 4857-2024 georefererad karta.tif", "S 4857-2024")</f>
        <v/>
      </c>
      <c r="AA25">
        <f>HYPERLINK("https://klasma.github.io/Logging_1962/klagomål/S 4857-2024 FSC-klagomål.docx", "S 4857-2024")</f>
        <v/>
      </c>
      <c r="AB25">
        <f>HYPERLINK("https://klasma.github.io/Logging_1962/klagomålsmail/S 4857-2024 FSC-klagomål mail.docx", "S 4857-2024")</f>
        <v/>
      </c>
      <c r="AC25">
        <f>HYPERLINK("https://klasma.github.io/Logging_1962/tillsyn/S 4857-2024 tillsynsbegäran.docx", "S 4857-2024")</f>
        <v/>
      </c>
      <c r="AD25">
        <f>HYPERLINK("https://klasma.github.io/Logging_1962/tillsynsmail/S 4857-2024 tillsynsbegäran mail.docx", "S 4857-2024")</f>
        <v/>
      </c>
    </row>
    <row r="26" ht="15" customHeight="1">
      <c r="A26" t="inlineStr">
        <is>
          <t>S 920-2025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45737</v>
      </c>
      <c r="E26" s="1" t="n">
        <v>46263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HYPERLINK("https://klasma.github.io/Logging_1962/artfynd/S 920-2025 artfynd.xlsx", "S 920-2025")</f>
        <v/>
      </c>
      <c r="X26">
        <f>HYPERLINK("https://klasma.github.io/Logging_1962/kartor/S 920-2025 karta.png", "S 920-2025")</f>
        <v/>
      </c>
      <c r="Y26">
        <f>HYPERLINK("https://klasma.github.io/Logging_1962/kartor_geotiff/S 920-2025 georefererad karta.tif", "S 920-2025")</f>
        <v/>
      </c>
      <c r="AA26">
        <f>HYPERLINK("https://klasma.github.io/Logging_1962/klagomål/S 920-2025 FSC-klagomål.docx", "S 920-2025")</f>
        <v/>
      </c>
      <c r="AB26">
        <f>HYPERLINK("https://klasma.github.io/Logging_1962/klagomålsmail/S 920-2025 FSC-klagomål mail.docx", "S 920-2025")</f>
        <v/>
      </c>
      <c r="AC26">
        <f>HYPERLINK("https://klasma.github.io/Logging_1962/tillsyn/S 920-2025 tillsynsbegäran.docx", "S 920-2025")</f>
        <v/>
      </c>
      <c r="AD26">
        <f>HYPERLINK("https://klasma.github.io/Logging_1962/tillsynsmail/S 920-2025 tillsynsbegäran mail.docx", "S 920-2025")</f>
        <v/>
      </c>
    </row>
    <row r="27" ht="15" customHeight="1">
      <c r="A27" t="inlineStr">
        <is>
          <t>A 45929-2021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46263</v>
      </c>
      <c r="F27" t="inlineStr">
        <is>
          <t>VÄSTMANLANDS LÄN</t>
        </is>
      </c>
      <c r="G27" t="inlineStr">
        <is>
          <t>NORBERG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46263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49143-2022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46263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46263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7.2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46263</v>
      </c>
      <c r="F32" t="inlineStr">
        <is>
          <t>VÄSTMANLANDS LÄN</t>
        </is>
      </c>
      <c r="G32" t="inlineStr">
        <is>
          <t>NORBERG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48544-2021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44452</v>
      </c>
      <c r="E33" s="1" t="n">
        <v>46263</v>
      </c>
      <c r="F33" t="inlineStr">
        <is>
          <t>VÄSTMANLANDS LÄN</t>
        </is>
      </c>
      <c r="G33" t="inlineStr">
        <is>
          <t>NORBERG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45934-2021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46263</v>
      </c>
      <c r="F34" t="inlineStr">
        <is>
          <t>VÄSTMANLANDS LÄN</t>
        </is>
      </c>
      <c r="G34" t="inlineStr">
        <is>
          <t>NORBERG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46263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46263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46263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46263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46263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46263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46263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46263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46263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46263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46263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46263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46263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46263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46263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45191</v>
      </c>
      <c r="E50" s="1" t="n">
        <v>46263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46041-2023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46263</v>
      </c>
      <c r="F51" t="inlineStr">
        <is>
          <t>VÄSTMANLANDS LÄN</t>
        </is>
      </c>
      <c r="G51" t="inlineStr">
        <is>
          <t>NORBERG</t>
        </is>
      </c>
      <c r="H51" t="inlineStr">
        <is>
          <t>Bergvik skog väst AB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45474</v>
      </c>
      <c r="E52" s="1" t="n">
        <v>46263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46263</v>
      </c>
      <c r="F53" t="inlineStr">
        <is>
          <t>VÄSTMANLANDS LÄN</t>
        </is>
      </c>
      <c r="G53" t="inlineStr">
        <is>
          <t>NORBERG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45966</v>
      </c>
      <c r="E54" s="1" t="n">
        <v>46263</v>
      </c>
      <c r="F54" t="inlineStr">
        <is>
          <t>VÄSTMANLANDS LÄN</t>
        </is>
      </c>
      <c r="G54" t="inlineStr">
        <is>
          <t>NORBERG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45320</v>
      </c>
      <c r="E55" s="1" t="n">
        <v>46263</v>
      </c>
      <c r="F55" t="inlineStr">
        <is>
          <t>VÄSTMANLANDS LÄN</t>
        </is>
      </c>
      <c r="G55" t="inlineStr">
        <is>
          <t>NORBERG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46263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46263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36905-2023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45154</v>
      </c>
      <c r="E58" s="1" t="n">
        <v>46263</v>
      </c>
      <c r="F58" t="inlineStr">
        <is>
          <t>VÄSTMANLANDS LÄN</t>
        </is>
      </c>
      <c r="G58" t="inlineStr">
        <is>
          <t>NORBERG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46263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46263</v>
      </c>
      <c r="F60" t="inlineStr">
        <is>
          <t>VÄSTMANLANDS LÄN</t>
        </is>
      </c>
      <c r="G60" t="inlineStr">
        <is>
          <t>NORBERG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46263</v>
      </c>
      <c r="F61" t="inlineStr">
        <is>
          <t>VÄSTMANLANDS LÄN</t>
        </is>
      </c>
      <c r="G61" t="inlineStr">
        <is>
          <t>NORBERG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46263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46263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45576</v>
      </c>
      <c r="E64" s="1" t="n">
        <v>46263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46263</v>
      </c>
      <c r="F65" t="inlineStr">
        <is>
          <t>VÄSTMANLANDS LÄN</t>
        </is>
      </c>
      <c r="G65" t="inlineStr">
        <is>
          <t>NORBERG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20378-2023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45056</v>
      </c>
      <c r="E66" s="1" t="n">
        <v>46263</v>
      </c>
      <c r="F66" t="inlineStr">
        <is>
          <t>VÄSTMANLANDS LÄN</t>
        </is>
      </c>
      <c r="G66" t="inlineStr">
        <is>
          <t>NORBERG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46263</v>
      </c>
      <c r="F67" t="inlineStr">
        <is>
          <t>VÄSTMANLANDS LÄN</t>
        </is>
      </c>
      <c r="G67" t="inlineStr">
        <is>
          <t>NORBERG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46263</v>
      </c>
      <c r="F68" t="inlineStr">
        <is>
          <t>VÄSTMANLANDS LÄN</t>
        </is>
      </c>
      <c r="G68" t="inlineStr">
        <is>
          <t>NORBERG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46263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46263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46263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46263</v>
      </c>
      <c r="F72" t="inlineStr">
        <is>
          <t>VÄSTMANLANDS LÄN</t>
        </is>
      </c>
      <c r="G72" t="inlineStr">
        <is>
          <t>NORBERG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46263</v>
      </c>
      <c r="F73" t="inlineStr">
        <is>
          <t>VÄSTMANLANDS LÄN</t>
        </is>
      </c>
      <c r="G73" t="inlineStr">
        <is>
          <t>NORBERG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46263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46263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46263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46006</v>
      </c>
      <c r="E77" s="1" t="n">
        <v>46263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45613</v>
      </c>
      <c r="E78" s="1" t="n">
        <v>46263</v>
      </c>
      <c r="F78" t="inlineStr">
        <is>
          <t>VÄSTMANLANDS LÄN</t>
        </is>
      </c>
      <c r="G78" t="inlineStr">
        <is>
          <t>NORBERG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45607</v>
      </c>
      <c r="E79" s="1" t="n">
        <v>46263</v>
      </c>
      <c r="F79" t="inlineStr">
        <is>
          <t>VÄSTMANLANDS LÄN</t>
        </is>
      </c>
      <c r="G79" t="inlineStr">
        <is>
          <t>NORBERG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46263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46263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15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46263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46263</v>
      </c>
      <c r="F83" t="inlineStr">
        <is>
          <t>VÄSTMANLANDS LÄN</t>
        </is>
      </c>
      <c r="G83" t="inlineStr">
        <is>
          <t>NORBERG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46263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46263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73797-2021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44552</v>
      </c>
      <c r="E86" s="1" t="n">
        <v>46263</v>
      </c>
      <c r="F86" t="inlineStr">
        <is>
          <t>VÄSTMANLANDS LÄN</t>
        </is>
      </c>
      <c r="G86" t="inlineStr">
        <is>
          <t>NORBERG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46263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46263</v>
      </c>
      <c r="F88" t="inlineStr">
        <is>
          <t>VÄSTMANLANDS LÄN</t>
        </is>
      </c>
      <c r="G88" t="inlineStr">
        <is>
          <t>NORBERG</t>
        </is>
      </c>
      <c r="I88" t="n">
        <v>22.8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46263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46020</v>
      </c>
      <c r="E90" s="1" t="n">
        <v>46263</v>
      </c>
      <c r="F90" t="inlineStr">
        <is>
          <t>VÄSTMANLANDS LÄN</t>
        </is>
      </c>
      <c r="G90" t="inlineStr">
        <is>
          <t>NORBERG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46263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46263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46263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46263</v>
      </c>
      <c r="F94" t="inlineStr">
        <is>
          <t>VÄSTMANLANDS LÄN</t>
        </is>
      </c>
      <c r="G94" t="inlineStr">
        <is>
          <t>NORBERG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46263</v>
      </c>
      <c r="F95" t="inlineStr">
        <is>
          <t>VÄSTMANLANDS LÄN</t>
        </is>
      </c>
      <c r="G95" t="inlineStr">
        <is>
          <t>NORBERG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46263</v>
      </c>
      <c r="F96" t="inlineStr">
        <is>
          <t>VÄSTMANLANDS LÄN</t>
        </is>
      </c>
      <c r="G96" t="inlineStr">
        <is>
          <t>NORBERG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46263</v>
      </c>
      <c r="F97" t="inlineStr">
        <is>
          <t>VÄSTMANLANDS LÄN</t>
        </is>
      </c>
      <c r="G97" t="inlineStr">
        <is>
          <t>NORBERG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46263</v>
      </c>
      <c r="F98" t="inlineStr">
        <is>
          <t>VÄSTMANLANDS LÄN</t>
        </is>
      </c>
      <c r="G98" t="inlineStr">
        <is>
          <t>NORBERG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46263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46263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11664-2023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46263</v>
      </c>
      <c r="F101" t="inlineStr">
        <is>
          <t>VÄSTMANLANDS LÄN</t>
        </is>
      </c>
      <c r="G101" t="inlineStr">
        <is>
          <t>NORBERG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46263</v>
      </c>
      <c r="F102" t="inlineStr">
        <is>
          <t>VÄSTMANLANDS LÄN</t>
        </is>
      </c>
      <c r="G102" t="inlineStr">
        <is>
          <t>NORBERG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45994</v>
      </c>
      <c r="E103" s="1" t="n">
        <v>46263</v>
      </c>
      <c r="F103" t="inlineStr">
        <is>
          <t>VÄSTMANLANDS LÄN</t>
        </is>
      </c>
      <c r="G103" t="inlineStr">
        <is>
          <t>NORBERG</t>
        </is>
      </c>
      <c r="H103" t="inlineStr">
        <is>
          <t>Kommuner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45588</v>
      </c>
      <c r="E104" s="1" t="n">
        <v>46263</v>
      </c>
      <c r="F104" t="inlineStr">
        <is>
          <t>VÄSTMANLANDS LÄN</t>
        </is>
      </c>
      <c r="G104" t="inlineStr">
        <is>
          <t>NORBERG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46263</v>
      </c>
      <c r="F105" t="inlineStr">
        <is>
          <t>VÄSTMANLANDS LÄN</t>
        </is>
      </c>
      <c r="G105" t="inlineStr">
        <is>
          <t>NORBERG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45567</v>
      </c>
      <c r="E106" s="1" t="n">
        <v>46263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45063</v>
      </c>
      <c r="E107" s="1" t="n">
        <v>46263</v>
      </c>
      <c r="F107" t="inlineStr">
        <is>
          <t>VÄSTMANLANDS LÄN</t>
        </is>
      </c>
      <c r="G107" t="inlineStr">
        <is>
          <t>NORBERG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46263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45121</v>
      </c>
      <c r="E109" s="1" t="n">
        <v>46263</v>
      </c>
      <c r="F109" t="inlineStr">
        <is>
          <t>VÄSTMANLANDS LÄN</t>
        </is>
      </c>
      <c r="G109" t="inlineStr">
        <is>
          <t>NORBERG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46263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46263</v>
      </c>
      <c r="F111" t="inlineStr">
        <is>
          <t>VÄSTMANLANDS LÄN</t>
        </is>
      </c>
      <c r="G111" t="inlineStr">
        <is>
          <t>NORBERG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46263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11099-2022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46263</v>
      </c>
      <c r="F113" t="inlineStr">
        <is>
          <t>VÄSTMANLANDS LÄN</t>
        </is>
      </c>
      <c r="G113" t="inlineStr">
        <is>
          <t>NORBERG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46263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46263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46263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46263</v>
      </c>
      <c r="F117" t="inlineStr">
        <is>
          <t>VÄSTMANLANDS LÄN</t>
        </is>
      </c>
      <c r="G117" t="inlineStr">
        <is>
          <t>NORBERG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15981-2026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46263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46263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46263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46263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46263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46263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46263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46263</v>
      </c>
      <c r="F125" t="inlineStr">
        <is>
          <t>VÄSTMANLANDS LÄN</t>
        </is>
      </c>
      <c r="G125" t="inlineStr">
        <is>
          <t>NORBERG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46263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46263</v>
      </c>
      <c r="F127" t="inlineStr">
        <is>
          <t>VÄSTMANLANDS LÄN</t>
        </is>
      </c>
      <c r="G127" t="inlineStr">
        <is>
          <t>NORBERG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46263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46263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46263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46263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46263</v>
      </c>
      <c r="F132" t="inlineStr">
        <is>
          <t>VÄSTMANLANDS LÄN</t>
        </is>
      </c>
      <c r="G132" t="inlineStr">
        <is>
          <t>NORBERG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46263</v>
      </c>
      <c r="F133" t="inlineStr">
        <is>
          <t>VÄSTMANLANDS LÄN</t>
        </is>
      </c>
      <c r="G133" t="inlineStr">
        <is>
          <t>NORBERG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56940-2021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44480</v>
      </c>
      <c r="E134" s="1" t="n">
        <v>46263</v>
      </c>
      <c r="F134" t="inlineStr">
        <is>
          <t>VÄSTMANLANDS LÄN</t>
        </is>
      </c>
      <c r="G134" t="inlineStr">
        <is>
          <t>NORBERG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46263</v>
      </c>
      <c r="F135" t="inlineStr">
        <is>
          <t>VÄSTMANLANDS LÄN</t>
        </is>
      </c>
      <c r="G135" t="inlineStr">
        <is>
          <t>NORBERG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46263</v>
      </c>
      <c r="F136" t="inlineStr">
        <is>
          <t>VÄSTMANLANDS LÄN</t>
        </is>
      </c>
      <c r="G136" t="inlineStr">
        <is>
          <t>NORBERG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46263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63505-2023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45274</v>
      </c>
      <c r="E138" s="1" t="n">
        <v>46263</v>
      </c>
      <c r="F138" t="inlineStr">
        <is>
          <t>VÄSTMANLANDS LÄN</t>
        </is>
      </c>
      <c r="G138" t="inlineStr">
        <is>
          <t>NORBERG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46263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46263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46263</v>
      </c>
      <c r="F141" t="inlineStr">
        <is>
          <t>VÄSTMANLANDS LÄN</t>
        </is>
      </c>
      <c r="G141" t="inlineStr">
        <is>
          <t>NORBERG</t>
        </is>
      </c>
      <c r="I141" t="n">
        <v>22.4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45598</v>
      </c>
      <c r="E142" s="1" t="n">
        <v>46263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45607</v>
      </c>
      <c r="E143" s="1" t="n">
        <v>46263</v>
      </c>
      <c r="F143" t="inlineStr">
        <is>
          <t>VÄSTMANLANDS LÄN</t>
        </is>
      </c>
      <c r="G143" t="inlineStr">
        <is>
          <t>NORBERG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45200</v>
      </c>
      <c r="E144" s="1" t="n">
        <v>46263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46263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45056</v>
      </c>
      <c r="E146" s="1" t="n">
        <v>46263</v>
      </c>
      <c r="F146" t="inlineStr">
        <is>
          <t>VÄSTMANLANDS LÄN</t>
        </is>
      </c>
      <c r="G146" t="inlineStr">
        <is>
          <t>NORBERG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45233</v>
      </c>
      <c r="E147" s="1" t="n">
        <v>46263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46263</v>
      </c>
      <c r="F148" t="inlineStr">
        <is>
          <t>VÄSTMANLANDS LÄN</t>
        </is>
      </c>
      <c r="G148" t="inlineStr">
        <is>
          <t>NORBERG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45454</v>
      </c>
      <c r="E149" s="1" t="n">
        <v>46263</v>
      </c>
      <c r="F149" t="inlineStr">
        <is>
          <t>VÄSTMANLANDS LÄN</t>
        </is>
      </c>
      <c r="G149" t="inlineStr">
        <is>
          <t>NORBERG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44727</v>
      </c>
      <c r="E150" s="1" t="n">
        <v>46263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46263</v>
      </c>
      <c r="F151" t="inlineStr">
        <is>
          <t>VÄSTMANLANDS LÄN</t>
        </is>
      </c>
      <c r="G151" t="inlineStr">
        <is>
          <t>NORBERG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45179</v>
      </c>
      <c r="E152" s="1" t="n">
        <v>46263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51790-2024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45607</v>
      </c>
      <c r="E153" s="1" t="n">
        <v>46263</v>
      </c>
      <c r="F153" t="inlineStr">
        <is>
          <t>VÄSTMANLANDS LÄN</t>
        </is>
      </c>
      <c r="G153" t="inlineStr">
        <is>
          <t>NORBERG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19377-2025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45769</v>
      </c>
      <c r="E154" s="1" t="n">
        <v>46263</v>
      </c>
      <c r="F154" t="inlineStr">
        <is>
          <t>VÄSTMANLANDS LÄN</t>
        </is>
      </c>
      <c r="G154" t="inlineStr">
        <is>
          <t>NORBERG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20968-2026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46142</v>
      </c>
      <c r="E155" s="1" t="n">
        <v>46263</v>
      </c>
      <c r="F155" t="inlineStr">
        <is>
          <t>VÄSTMANLANDS LÄN</t>
        </is>
      </c>
      <c r="G155" t="inlineStr">
        <is>
          <t>NORBERG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46263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46263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46263</v>
      </c>
      <c r="F158" t="inlineStr">
        <is>
          <t>VÄSTMANLANDS LÄN</t>
        </is>
      </c>
      <c r="G158" t="inlineStr">
        <is>
          <t>NORBERG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46263</v>
      </c>
      <c r="F159" t="inlineStr">
        <is>
          <t>VÄSTMANLANDS LÄN</t>
        </is>
      </c>
      <c r="G159" t="inlineStr">
        <is>
          <t>NORBERG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46263</v>
      </c>
      <c r="F160" t="inlineStr">
        <is>
          <t>VÄSTMANLANDS LÄN</t>
        </is>
      </c>
      <c r="G160" t="inlineStr">
        <is>
          <t>NORBERG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46263</v>
      </c>
      <c r="F161" t="inlineStr">
        <is>
          <t>VÄSTMANLANDS LÄN</t>
        </is>
      </c>
      <c r="G161" t="inlineStr">
        <is>
          <t>NORBERG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46263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46263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44691</v>
      </c>
      <c r="E164" s="1" t="n">
        <v>46263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45729</v>
      </c>
      <c r="E165" s="1" t="n">
        <v>46263</v>
      </c>
      <c r="F165" t="inlineStr">
        <is>
          <t>VÄSTMANLANDS LÄN</t>
        </is>
      </c>
      <c r="G165" t="inlineStr">
        <is>
          <t>NORBERG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46263</v>
      </c>
      <c r="F166" t="inlineStr">
        <is>
          <t>VÄSTMANLANDS LÄN</t>
        </is>
      </c>
      <c r="G166" t="inlineStr">
        <is>
          <t>NORBERG</t>
        </is>
      </c>
      <c r="H166" t="inlineStr">
        <is>
          <t>Övriga Aktiebolag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46263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46263</v>
      </c>
      <c r="F168" t="inlineStr">
        <is>
          <t>VÄSTMANLANDS LÄN</t>
        </is>
      </c>
      <c r="G168" t="inlineStr">
        <is>
          <t>NORBERG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46263</v>
      </c>
      <c r="F169" t="inlineStr">
        <is>
          <t>VÄSTMANLANDS LÄN</t>
        </is>
      </c>
      <c r="G169" t="inlineStr">
        <is>
          <t>NORBERG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46263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46263</v>
      </c>
      <c r="F171" t="inlineStr">
        <is>
          <t>VÄSTMANLANDS LÄN</t>
        </is>
      </c>
      <c r="G171" t="inlineStr">
        <is>
          <t>NORBERG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56400-2025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45974</v>
      </c>
      <c r="E172" s="1" t="n">
        <v>46263</v>
      </c>
      <c r="F172" t="inlineStr">
        <is>
          <t>VÄSTMANLANDS LÄN</t>
        </is>
      </c>
      <c r="G172" t="inlineStr">
        <is>
          <t>NORBERG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46263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46223</v>
      </c>
      <c r="E174" s="1" t="n">
        <v>46263</v>
      </c>
      <c r="F174" t="inlineStr">
        <is>
          <t>VÄSTMANLANDS LÄN</t>
        </is>
      </c>
      <c r="G174" t="inlineStr">
        <is>
          <t>NORBERG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46263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46263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46263</v>
      </c>
      <c r="F177" t="inlineStr">
        <is>
          <t>VÄSTMANLANDS LÄN</t>
        </is>
      </c>
      <c r="G177" t="inlineStr">
        <is>
          <t>NORBERG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46263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46233</v>
      </c>
      <c r="E179" s="1" t="n">
        <v>46263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46190</v>
      </c>
      <c r="E180" s="1" t="n">
        <v>46263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32385-2026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46238</v>
      </c>
      <c r="E181" s="1" t="n">
        <v>46263</v>
      </c>
      <c r="F181" t="inlineStr">
        <is>
          <t>VÄSTMANLANDS LÄN</t>
        </is>
      </c>
      <c r="G181" t="inlineStr">
        <is>
          <t>NORBERG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46263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46263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46263</v>
      </c>
      <c r="F184" t="inlineStr">
        <is>
          <t>VÄSTMANLANDS LÄN</t>
        </is>
      </c>
      <c r="G184" t="inlineStr">
        <is>
          <t>NORBERG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46247</v>
      </c>
      <c r="E185" s="1" t="n">
        <v>46263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46263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46263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46263</v>
      </c>
      <c r="F188" t="inlineStr">
        <is>
          <t>VÄSTMANLANDS LÄN</t>
        </is>
      </c>
      <c r="G188" t="inlineStr">
        <is>
          <t>NORBERG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46263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46263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46263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2026-08-29T01:51:15Z</dcterms:created>
  <dcterms:modified xmlns:dcterms="http://purl.org/dc/terms/" xmlns:xsi="http://www.w3.org/2001/XMLSchema-instance" xsi:type="dcterms:W3CDTF">2026-08-29T01:51:15Z</dcterms:modified>
</cp:coreProperties>
</file>