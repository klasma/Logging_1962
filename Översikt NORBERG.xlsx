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46315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46315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46315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46315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46315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46315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46315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46315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46315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46315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46315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46315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46315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46315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15107-2025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46315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15107-2025 artfynd.xlsx", "A 15107-2025")</f>
        <v/>
      </c>
      <c r="X20">
        <f>HYPERLINK("https://klasma.github.io/Logging_1962/kartor/A 15107-2025 karta.png", "A 15107-2025")</f>
        <v/>
      </c>
      <c r="Y20">
        <f>HYPERLINK("https://klasma.github.io/Logging_1962/kartor_geotiff/A 15107-2025 georefererad karta.tif", "A 15107-2025")</f>
        <v/>
      </c>
      <c r="AA20">
        <f>HYPERLINK("https://klasma.github.io/Logging_1962/klagomål/A 15107-2025 FSC-klagomål.docx", "A 15107-2025")</f>
        <v/>
      </c>
      <c r="AB20">
        <f>HYPERLINK("https://klasma.github.io/Logging_1962/klagomålsmail/A 15107-2025 FSC-klagomål mail.docx", "A 15107-2025")</f>
        <v/>
      </c>
      <c r="AC20">
        <f>HYPERLINK("https://klasma.github.io/Logging_1962/tillsyn/A 15107-2025 tillsynsbegäran.docx", "A 15107-2025")</f>
        <v/>
      </c>
      <c r="AD20">
        <f>HYPERLINK("https://klasma.github.io/Logging_1962/tillsynsmail/A 15107-2025 tillsynsbegäran mail.docx", "A 15107-2025")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46315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38927-2026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46315</v>
      </c>
      <c r="F22" t="inlineStr">
        <is>
          <t>VÄSTMANLANDS LÄN</t>
        </is>
      </c>
      <c r="G22" t="inlineStr">
        <is>
          <t>NORBERG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HYPERLINK("https://klasma.github.io/Logging_1962/artfynd/A 38927-2026 artfynd.xlsx", "A 38927-2026")</f>
        <v/>
      </c>
      <c r="X22">
        <f>HYPERLINK("https://klasma.github.io/Logging_1962/kartor/A 38927-2026 karta.png", "A 38927-2026")</f>
        <v/>
      </c>
      <c r="Y22">
        <f>HYPERLINK("https://klasma.github.io/Logging_1962/kartor_geotiff/A 38927-2026 georefererad karta.tif", "A 38927-2026")</f>
        <v/>
      </c>
      <c r="AA22">
        <f>HYPERLINK("https://klasma.github.io/Logging_1962/klagomål/A 38927-2026 FSC-klagomål.docx", "A 38927-2026")</f>
        <v/>
      </c>
      <c r="AB22">
        <f>HYPERLINK("https://klasma.github.io/Logging_1962/klagomålsmail/A 38927-2026 FSC-klagomål mail.docx", "A 38927-2026")</f>
        <v/>
      </c>
      <c r="AC22">
        <f>HYPERLINK("https://klasma.github.io/Logging_1962/tillsyn/A 38927-2026 tillsynsbegäran.docx", "A 38927-2026")</f>
        <v/>
      </c>
      <c r="AD22">
        <f>HYPERLINK("https://klasma.github.io/Logging_1962/tillsynsmail/A 38927-2026 tillsynsbegäran mail.docx", "A 38927-2026")</f>
        <v/>
      </c>
    </row>
    <row r="23" ht="15" customHeight="1">
      <c r="A23" t="inlineStr">
        <is>
          <t>A 61099-2024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46315</v>
      </c>
      <c r="F23" t="inlineStr">
        <is>
          <t>VÄSTMANLANDS LÄN</t>
        </is>
      </c>
      <c r="G23" t="inlineStr">
        <is>
          <t>NORBERG</t>
        </is>
      </c>
      <c r="I23" t="n">
        <v>0.4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61099-2024 artfynd.xlsx", "A 61099-2024")</f>
        <v/>
      </c>
      <c r="X23">
        <f>HYPERLINK("https://klasma.github.io/Logging_1962/kartor/A 61099-2024 karta.png", "A 61099-2024")</f>
        <v/>
      </c>
      <c r="Y23">
        <f>HYPERLINK("https://klasma.github.io/Logging_1962/kartor_geotiff/A 61099-2024 georefererad karta.tif", "A 61099-2024")</f>
        <v/>
      </c>
      <c r="AA23">
        <f>HYPERLINK("https://klasma.github.io/Logging_1962/klagomål/A 61099-2024 FSC-klagomål.docx", "A 61099-2024")</f>
        <v/>
      </c>
      <c r="AB23">
        <f>HYPERLINK("https://klasma.github.io/Logging_1962/klagomålsmail/A 61099-2024 FSC-klagomål mail.docx", "A 61099-2024")</f>
        <v/>
      </c>
      <c r="AC23">
        <f>HYPERLINK("https://klasma.github.io/Logging_1962/tillsyn/A 61099-2024 tillsynsbegäran.docx", "A 61099-2024")</f>
        <v/>
      </c>
      <c r="AD23">
        <f>HYPERLINK("https://klasma.github.io/Logging_1962/tillsynsmail/A 61099-2024 tillsynsbegäran mail.docx", "A 61099-2024")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46315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46315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41909-2026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46303</v>
      </c>
      <c r="E26" s="1" t="n">
        <v>46315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41909-2026 artfynd.xlsx", "A 41909-2026")</f>
        <v/>
      </c>
      <c r="X26">
        <f>HYPERLINK("https://klasma.github.io/Logging_1962/kartor/A 41909-2026 karta.png", "A 41909-2026")</f>
        <v/>
      </c>
      <c r="Y26">
        <f>HYPERLINK("https://klasma.github.io/Logging_1962/kartor_geotiff/A 41909-2026 georefererad karta.tif", "A 41909-2026")</f>
        <v/>
      </c>
      <c r="AA26">
        <f>HYPERLINK("https://klasma.github.io/Logging_1962/klagomål/A 41909-2026 FSC-klagomål.docx", "A 41909-2026")</f>
        <v/>
      </c>
      <c r="AB26">
        <f>HYPERLINK("https://klasma.github.io/Logging_1962/klagomålsmail/A 41909-2026 FSC-klagomål mail.docx", "A 41909-2026")</f>
        <v/>
      </c>
      <c r="AC26">
        <f>HYPERLINK("https://klasma.github.io/Logging_1962/tillsyn/A 41909-2026 tillsynsbegäran.docx", "A 41909-2026")</f>
        <v/>
      </c>
      <c r="AD26">
        <f>HYPERLINK("https://klasma.github.io/Logging_1962/tillsynsmail/A 41909-2026 tillsynsbegäran mail.docx", "A 41909-2026")</f>
        <v/>
      </c>
    </row>
    <row r="27" ht="15" customHeight="1">
      <c r="A27" t="inlineStr">
        <is>
          <t>A 36383-2026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46268</v>
      </c>
      <c r="E27" s="1" t="n">
        <v>46315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8.300000000000001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36383-2026 artfynd.xlsx", "A 36383-2026")</f>
        <v/>
      </c>
      <c r="X27">
        <f>HYPERLINK("https://klasma.github.io/Logging_1962/kartor/A 36383-2026 karta.png", "A 36383-2026")</f>
        <v/>
      </c>
      <c r="Y27">
        <f>HYPERLINK("https://klasma.github.io/Logging_1962/kartor_geotiff/A 36383-2026 georefererad karta.tif", "A 36383-2026")</f>
        <v/>
      </c>
      <c r="AA27">
        <f>HYPERLINK("https://klasma.github.io/Logging_1962/klagomål/A 36383-2026 FSC-klagomål.docx", "A 36383-2026")</f>
        <v/>
      </c>
      <c r="AB27">
        <f>HYPERLINK("https://klasma.github.io/Logging_1962/klagomålsmail/A 36383-2026 FSC-klagomål mail.docx", "A 36383-2026")</f>
        <v/>
      </c>
      <c r="AC27">
        <f>HYPERLINK("https://klasma.github.io/Logging_1962/tillsyn/A 36383-2026 tillsynsbegäran.docx", "A 36383-2026")</f>
        <v/>
      </c>
      <c r="AD27">
        <f>HYPERLINK("https://klasma.github.io/Logging_1962/tillsynsmail/A 36383-2026 tillsynsbegäran mail.docx", "A 36383-2026")</f>
        <v/>
      </c>
    </row>
    <row r="28" ht="15" customHeight="1">
      <c r="A28" t="inlineStr">
        <is>
          <t>A 38017-2025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45882</v>
      </c>
      <c r="E28" s="1" t="n">
        <v>46315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15.5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HYPERLINK("https://klasma.github.io/Logging_1962/artfynd/A 38017-2025 artfynd.xlsx", "A 38017-2025")</f>
        <v/>
      </c>
      <c r="X28">
        <f>HYPERLINK("https://klasma.github.io/Logging_1962/kartor/A 38017-2025 karta.png", "A 38017-2025")</f>
        <v/>
      </c>
      <c r="Y28">
        <f>HYPERLINK("https://klasma.github.io/Logging_1962/kartor_geotiff/A 38017-2025 georefererad karta.tif", "A 38017-2025")</f>
        <v/>
      </c>
      <c r="AA28">
        <f>HYPERLINK("https://klasma.github.io/Logging_1962/klagomål/A 38017-2025 FSC-klagomål.docx", "A 38017-2025")</f>
        <v/>
      </c>
      <c r="AB28">
        <f>HYPERLINK("https://klasma.github.io/Logging_1962/klagomålsmail/A 38017-2025 FSC-klagomål mail.docx", "A 38017-2025")</f>
        <v/>
      </c>
      <c r="AC28">
        <f>HYPERLINK("https://klasma.github.io/Logging_1962/tillsyn/A 38017-2025 tillsynsbegäran.docx", "A 38017-2025")</f>
        <v/>
      </c>
      <c r="AD28">
        <f>HYPERLINK("https://klasma.github.io/Logging_1962/tillsynsmail/A 38017-2025 tillsynsbegäran mail.docx", "A 38017-2025")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46315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46315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46315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46315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46315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46315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46315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46315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46315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46315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46315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46315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46315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46315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46315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46315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46315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46315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46315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46315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46315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46315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36905-2023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45154</v>
      </c>
      <c r="E51" s="1" t="n">
        <v>46315</v>
      </c>
      <c r="F51" t="inlineStr">
        <is>
          <t>VÄSTMANLANDS LÄN</t>
        </is>
      </c>
      <c r="G51" t="inlineStr">
        <is>
          <t>NORBERG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45169</v>
      </c>
      <c r="E52" s="1" t="n">
        <v>46315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46315</v>
      </c>
      <c r="F53" t="inlineStr">
        <is>
          <t>VÄSTMANLANDS LÄN</t>
        </is>
      </c>
      <c r="G53" t="inlineStr">
        <is>
          <t>NORBERG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45089</v>
      </c>
      <c r="E54" s="1" t="n">
        <v>46315</v>
      </c>
      <c r="F54" t="inlineStr">
        <is>
          <t>VÄSTMANLANDS LÄN</t>
        </is>
      </c>
      <c r="G54" t="inlineStr">
        <is>
          <t>NORBERG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20378-2023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45056</v>
      </c>
      <c r="E55" s="1" t="n">
        <v>46315</v>
      </c>
      <c r="F55" t="inlineStr">
        <is>
          <t>VÄSTMANLANDS LÄN</t>
        </is>
      </c>
      <c r="G55" t="inlineStr">
        <is>
          <t>NORBERG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45408</v>
      </c>
      <c r="E56" s="1" t="n">
        <v>46315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46315</v>
      </c>
      <c r="F57" t="inlineStr">
        <is>
          <t>VÄSTMANLANDS LÄN</t>
        </is>
      </c>
      <c r="G57" t="inlineStr">
        <is>
          <t>NORBERG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46315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7744-2023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46315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45613</v>
      </c>
      <c r="E60" s="1" t="n">
        <v>46315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46315</v>
      </c>
      <c r="F61" t="inlineStr">
        <is>
          <t>VÄSTMANLANDS LÄN</t>
        </is>
      </c>
      <c r="G61" t="inlineStr">
        <is>
          <t>NORBERG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46315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46315</v>
      </c>
      <c r="F63" t="inlineStr">
        <is>
          <t>VÄSTMANLANDS LÄN</t>
        </is>
      </c>
      <c r="G63" t="inlineStr">
        <is>
          <t>NORBERG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46315</v>
      </c>
      <c r="F64" t="inlineStr">
        <is>
          <t>VÄSTMANLANDS LÄN</t>
        </is>
      </c>
      <c r="G64" t="inlineStr">
        <is>
          <t>NORBERG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45169</v>
      </c>
      <c r="E65" s="1" t="n">
        <v>46315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45169</v>
      </c>
      <c r="E66" s="1" t="n">
        <v>46315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45598</v>
      </c>
      <c r="E67" s="1" t="n">
        <v>46315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45705</v>
      </c>
      <c r="E68" s="1" t="n">
        <v>46315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46315</v>
      </c>
      <c r="F69" t="inlineStr">
        <is>
          <t>VÄSTMANLANDS LÄN</t>
        </is>
      </c>
      <c r="G69" t="inlineStr">
        <is>
          <t>NORBERG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46315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46315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45200</v>
      </c>
      <c r="E72" s="1" t="n">
        <v>46315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45764</v>
      </c>
      <c r="E73" s="1" t="n">
        <v>46315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20968-2026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46142</v>
      </c>
      <c r="E74" s="1" t="n">
        <v>46315</v>
      </c>
      <c r="F74" t="inlineStr">
        <is>
          <t>VÄSTMANLANDS LÄN</t>
        </is>
      </c>
      <c r="G74" t="inlineStr">
        <is>
          <t>NORBERG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45474</v>
      </c>
      <c r="E75" s="1" t="n">
        <v>46315</v>
      </c>
      <c r="F75" t="inlineStr">
        <is>
          <t>VÄSTMANLANDS LÄN</t>
        </is>
      </c>
      <c r="G75" t="inlineStr">
        <is>
          <t>NORBERG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46315</v>
      </c>
      <c r="F76" t="inlineStr">
        <is>
          <t>VÄSTMANLANDS LÄN</t>
        </is>
      </c>
      <c r="G76" t="inlineStr">
        <is>
          <t>NORBERG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46315</v>
      </c>
      <c r="F77" t="inlineStr">
        <is>
          <t>VÄSTMANLANDS LÄN</t>
        </is>
      </c>
      <c r="G77" t="inlineStr">
        <is>
          <t>NORBERG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46315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46148</v>
      </c>
      <c r="E79" s="1" t="n">
        <v>46315</v>
      </c>
      <c r="F79" t="inlineStr">
        <is>
          <t>VÄSTMANLANDS LÄN</t>
        </is>
      </c>
      <c r="G79" t="inlineStr">
        <is>
          <t>NORBERG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46315</v>
      </c>
      <c r="F80" t="inlineStr">
        <is>
          <t>VÄSTMANLANDS LÄN</t>
        </is>
      </c>
      <c r="G80" t="inlineStr">
        <is>
          <t>NORBERG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46315</v>
      </c>
      <c r="F81" t="inlineStr">
        <is>
          <t>VÄSTMANLANDS LÄN</t>
        </is>
      </c>
      <c r="G81" t="inlineStr">
        <is>
          <t>NORBERG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45537</v>
      </c>
      <c r="E82" s="1" t="n">
        <v>46315</v>
      </c>
      <c r="F82" t="inlineStr">
        <is>
          <t>VÄSTMANLANDS LÄN</t>
        </is>
      </c>
      <c r="G82" t="inlineStr">
        <is>
          <t>NORBERG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46315</v>
      </c>
      <c r="F83" t="inlineStr">
        <is>
          <t>VÄSTMANLANDS LÄN</t>
        </is>
      </c>
      <c r="G83" t="inlineStr">
        <is>
          <t>NORBERG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46315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46315</v>
      </c>
      <c r="F85" t="inlineStr">
        <is>
          <t>VÄSTMANLANDS LÄN</t>
        </is>
      </c>
      <c r="G85" t="inlineStr">
        <is>
          <t>NORBERG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46315</v>
      </c>
      <c r="F86" t="inlineStr">
        <is>
          <t>VÄSTMANLANDS LÄN</t>
        </is>
      </c>
      <c r="G86" t="inlineStr">
        <is>
          <t>NORBERG</t>
        </is>
      </c>
      <c r="H86" t="inlineStr">
        <is>
          <t>Bergvik skog väst AB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45089</v>
      </c>
      <c r="E87" s="1" t="n">
        <v>46315</v>
      </c>
      <c r="F87" t="inlineStr">
        <is>
          <t>VÄSTMANLANDS LÄN</t>
        </is>
      </c>
      <c r="G87" t="inlineStr">
        <is>
          <t>NORBERG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45966</v>
      </c>
      <c r="E88" s="1" t="n">
        <v>46315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46315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46315</v>
      </c>
      <c r="F90" t="inlineStr">
        <is>
          <t>VÄSTMANLANDS LÄN</t>
        </is>
      </c>
      <c r="G90" t="inlineStr">
        <is>
          <t>NORBERG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56400-2025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45974</v>
      </c>
      <c r="E91" s="1" t="n">
        <v>46315</v>
      </c>
      <c r="F91" t="inlineStr">
        <is>
          <t>VÄSTMANLANDS LÄN</t>
        </is>
      </c>
      <c r="G91" t="inlineStr">
        <is>
          <t>NORBERG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46315</v>
      </c>
      <c r="F92" t="inlineStr">
        <is>
          <t>VÄSTMANLANDS LÄN</t>
        </is>
      </c>
      <c r="G92" t="inlineStr">
        <is>
          <t>NORBERG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45989</v>
      </c>
      <c r="E93" s="1" t="n">
        <v>46315</v>
      </c>
      <c r="F93" t="inlineStr">
        <is>
          <t>VÄSTMANLANDS LÄN</t>
        </is>
      </c>
      <c r="G93" t="inlineStr">
        <is>
          <t>NORBERG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46315</v>
      </c>
      <c r="F94" t="inlineStr">
        <is>
          <t>VÄSTMANLANDS LÄN</t>
        </is>
      </c>
      <c r="G94" t="inlineStr">
        <is>
          <t>NORBERG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45588</v>
      </c>
      <c r="E95" s="1" t="n">
        <v>46315</v>
      </c>
      <c r="F95" t="inlineStr">
        <is>
          <t>VÄSTMANLANDS LÄN</t>
        </is>
      </c>
      <c r="G95" t="inlineStr">
        <is>
          <t>NORBERG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46315</v>
      </c>
      <c r="F96" t="inlineStr">
        <is>
          <t>VÄSTMANLANDS LÄN</t>
        </is>
      </c>
      <c r="G96" t="inlineStr">
        <is>
          <t>NORBERG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46315</v>
      </c>
      <c r="F97" t="inlineStr">
        <is>
          <t>VÄSTMANLANDS LÄN</t>
        </is>
      </c>
      <c r="G97" t="inlineStr">
        <is>
          <t>NORBERG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46315</v>
      </c>
      <c r="F98" t="inlineStr">
        <is>
          <t>VÄSTMANLANDS LÄN</t>
        </is>
      </c>
      <c r="G98" t="inlineStr">
        <is>
          <t>NORBERG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46315</v>
      </c>
      <c r="F99" t="inlineStr">
        <is>
          <t>VÄSTMANLANDS LÄN</t>
        </is>
      </c>
      <c r="G99" t="inlineStr">
        <is>
          <t>NORBERG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46315</v>
      </c>
      <c r="F100" t="inlineStr">
        <is>
          <t>VÄSTMANLANDS LÄN</t>
        </is>
      </c>
      <c r="G100" t="inlineStr">
        <is>
          <t>NORBERG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46315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46315</v>
      </c>
      <c r="F102" t="inlineStr">
        <is>
          <t>VÄSTMANLANDS LÄN</t>
        </is>
      </c>
      <c r="G102" t="inlineStr">
        <is>
          <t>NORBERG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46020</v>
      </c>
      <c r="E103" s="1" t="n">
        <v>46315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46315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32524-2023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45121</v>
      </c>
      <c r="E105" s="1" t="n">
        <v>46315</v>
      </c>
      <c r="F105" t="inlineStr">
        <is>
          <t>VÄSTMANLANDS LÄN</t>
        </is>
      </c>
      <c r="G105" t="inlineStr">
        <is>
          <t>NORBERG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46176</v>
      </c>
      <c r="E106" s="1" t="n">
        <v>46315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46315</v>
      </c>
      <c r="F107" t="inlineStr">
        <is>
          <t>VÄSTMANLANDS LÄN</t>
        </is>
      </c>
      <c r="G107" t="inlineStr">
        <is>
          <t>NORBERG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46315</v>
      </c>
      <c r="F108" t="inlineStr">
        <is>
          <t>VÄSTMANLANDS LÄN</t>
        </is>
      </c>
      <c r="G108" t="inlineStr">
        <is>
          <t>NORBERG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46315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46315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46315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46315</v>
      </c>
      <c r="F112" t="inlineStr">
        <is>
          <t>VÄSTMANLANDS LÄN</t>
        </is>
      </c>
      <c r="G112" t="inlineStr">
        <is>
          <t>NORBERG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60339-2025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45994</v>
      </c>
      <c r="E113" s="1" t="n">
        <v>46315</v>
      </c>
      <c r="F113" t="inlineStr">
        <is>
          <t>VÄSTMANLANDS LÄN</t>
        </is>
      </c>
      <c r="G113" t="inlineStr">
        <is>
          <t>NORBERG</t>
        </is>
      </c>
      <c r="H113" t="inlineStr">
        <is>
          <t>Kommuner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45408</v>
      </c>
      <c r="E114" s="1" t="n">
        <v>46315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46315</v>
      </c>
      <c r="F115" t="inlineStr">
        <is>
          <t>VÄSTMANLANDS LÄN</t>
        </is>
      </c>
      <c r="G115" t="inlineStr">
        <is>
          <t>NORBERG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46315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46315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46315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45155</v>
      </c>
      <c r="E119" s="1" t="n">
        <v>46315</v>
      </c>
      <c r="F119" t="inlineStr">
        <is>
          <t>VÄSTMANLANDS LÄN</t>
        </is>
      </c>
      <c r="G119" t="inlineStr">
        <is>
          <t>NORBERG</t>
        </is>
      </c>
      <c r="H119" t="inlineStr">
        <is>
          <t>Övriga Aktiebolag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46190</v>
      </c>
      <c r="E120" s="1" t="n">
        <v>46315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46315</v>
      </c>
      <c r="F121" t="inlineStr">
        <is>
          <t>VÄSTMANLANDS LÄN</t>
        </is>
      </c>
      <c r="G121" t="inlineStr">
        <is>
          <t>NORBERG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46099</v>
      </c>
      <c r="E122" s="1" t="n">
        <v>46315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46315</v>
      </c>
      <c r="F123" t="inlineStr">
        <is>
          <t>VÄSTMANLANDS LÄN</t>
        </is>
      </c>
      <c r="G123" t="inlineStr">
        <is>
          <t>NORBERG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46315</v>
      </c>
      <c r="F124" t="inlineStr">
        <is>
          <t>VÄSTMANLANDS LÄN</t>
        </is>
      </c>
      <c r="G124" t="inlineStr">
        <is>
          <t>NORBERG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46315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53030-2023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46315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45730</v>
      </c>
      <c r="E127" s="1" t="n">
        <v>46315</v>
      </c>
      <c r="F127" t="inlineStr">
        <is>
          <t>VÄSTMANLANDS LÄN</t>
        </is>
      </c>
      <c r="G127" t="inlineStr">
        <is>
          <t>NORBERG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46108</v>
      </c>
      <c r="E128" s="1" t="n">
        <v>46315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46315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46315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45049</v>
      </c>
      <c r="E131" s="1" t="n">
        <v>46315</v>
      </c>
      <c r="F131" t="inlineStr">
        <is>
          <t>VÄSTMANLANDS LÄN</t>
        </is>
      </c>
      <c r="G131" t="inlineStr">
        <is>
          <t>NORBERG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46114</v>
      </c>
      <c r="E132" s="1" t="n">
        <v>46315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46315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46315</v>
      </c>
      <c r="F134" t="inlineStr">
        <is>
          <t>VÄSTMANLANDS LÄN</t>
        </is>
      </c>
      <c r="G134" t="inlineStr">
        <is>
          <t>NORBERG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63505-2023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45274</v>
      </c>
      <c r="E135" s="1" t="n">
        <v>46315</v>
      </c>
      <c r="F135" t="inlineStr">
        <is>
          <t>VÄSTMANLANDS LÄN</t>
        </is>
      </c>
      <c r="G135" t="inlineStr">
        <is>
          <t>NORBERG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46315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46315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46315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46315</v>
      </c>
      <c r="F139" t="inlineStr">
        <is>
          <t>VÄSTMANLANDS LÄN</t>
        </is>
      </c>
      <c r="G139" t="inlineStr">
        <is>
          <t>NORBERG</t>
        </is>
      </c>
      <c r="I139" t="n">
        <v>22.4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46315</v>
      </c>
      <c r="F140" t="inlineStr">
        <is>
          <t>VÄSTMANLANDS LÄN</t>
        </is>
      </c>
      <c r="G140" t="inlineStr">
        <is>
          <t>NORBERG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45200</v>
      </c>
      <c r="E141" s="1" t="n">
        <v>46315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41448-2024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45560</v>
      </c>
      <c r="E142" s="1" t="n">
        <v>46315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46223</v>
      </c>
      <c r="E143" s="1" t="n">
        <v>46315</v>
      </c>
      <c r="F143" t="inlineStr">
        <is>
          <t>VÄSTMANLANDS LÄN</t>
        </is>
      </c>
      <c r="G143" t="inlineStr">
        <is>
          <t>NORBERG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46315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46315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31967-2026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46232</v>
      </c>
      <c r="E146" s="1" t="n">
        <v>46315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46315</v>
      </c>
      <c r="F147" t="inlineStr">
        <is>
          <t>VÄSTMANLANDS LÄN</t>
        </is>
      </c>
      <c r="G147" t="inlineStr">
        <is>
          <t>NORBERG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45056</v>
      </c>
      <c r="E148" s="1" t="n">
        <v>46315</v>
      </c>
      <c r="F148" t="inlineStr">
        <is>
          <t>VÄSTMANLANDS LÄN</t>
        </is>
      </c>
      <c r="G148" t="inlineStr">
        <is>
          <t>NORBERG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46233</v>
      </c>
      <c r="E149" s="1" t="n">
        <v>46315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45233</v>
      </c>
      <c r="E150" s="1" t="n">
        <v>46315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46238</v>
      </c>
      <c r="E151" s="1" t="n">
        <v>46315</v>
      </c>
      <c r="F151" t="inlineStr">
        <is>
          <t>VÄSTMANLANDS LÄN</t>
        </is>
      </c>
      <c r="G151" t="inlineStr">
        <is>
          <t>NORBERG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44727</v>
      </c>
      <c r="E152" s="1" t="n">
        <v>46315</v>
      </c>
      <c r="F152" t="inlineStr">
        <is>
          <t>VÄSTMANLANDS LÄN</t>
        </is>
      </c>
      <c r="G152" t="inlineStr">
        <is>
          <t>NORBERG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46315</v>
      </c>
      <c r="F153" t="inlineStr">
        <is>
          <t>VÄSTMANLANDS LÄN</t>
        </is>
      </c>
      <c r="G153" t="inlineStr">
        <is>
          <t>NORBERG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46315</v>
      </c>
      <c r="F154" t="inlineStr">
        <is>
          <t>VÄSTMANLANDS LÄN</t>
        </is>
      </c>
      <c r="G154" t="inlineStr">
        <is>
          <t>NORBERG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45179</v>
      </c>
      <c r="E155" s="1" t="n">
        <v>46315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51790-2024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45607</v>
      </c>
      <c r="E156" s="1" t="n">
        <v>46315</v>
      </c>
      <c r="F156" t="inlineStr">
        <is>
          <t>VÄSTMANLANDS LÄN</t>
        </is>
      </c>
      <c r="G156" t="inlineStr">
        <is>
          <t>NORBERG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19377-2025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45769</v>
      </c>
      <c r="E157" s="1" t="n">
        <v>46315</v>
      </c>
      <c r="F157" t="inlineStr">
        <is>
          <t>VÄSTMANLANDS LÄN</t>
        </is>
      </c>
      <c r="G157" t="inlineStr">
        <is>
          <t>NORBERG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45586</v>
      </c>
      <c r="E158" s="1" t="n">
        <v>46315</v>
      </c>
      <c r="F158" t="inlineStr">
        <is>
          <t>VÄSTMANLANDS LÄN</t>
        </is>
      </c>
      <c r="G158" t="inlineStr">
        <is>
          <t>NORBERG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46247</v>
      </c>
      <c r="E159" s="1" t="n">
        <v>46315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45316</v>
      </c>
      <c r="E160" s="1" t="n">
        <v>46315</v>
      </c>
      <c r="F160" t="inlineStr">
        <is>
          <t>VÄSTMANLANDS LÄN</t>
        </is>
      </c>
      <c r="G160" t="inlineStr">
        <is>
          <t>NORBERG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46315</v>
      </c>
      <c r="F161" t="inlineStr">
        <is>
          <t>VÄSTMANLANDS LÄN</t>
        </is>
      </c>
      <c r="G161" t="inlineStr">
        <is>
          <t>NORBERG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46315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44691</v>
      </c>
      <c r="E163" s="1" t="n">
        <v>46315</v>
      </c>
      <c r="F163" t="inlineStr">
        <is>
          <t>VÄSTMANLANDS LÄN</t>
        </is>
      </c>
      <c r="G163" t="inlineStr">
        <is>
          <t>NORBERG</t>
        </is>
      </c>
      <c r="H163" t="inlineStr">
        <is>
          <t>Övriga Aktiebolag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46315</v>
      </c>
      <c r="F164" t="inlineStr">
        <is>
          <t>VÄSTMANLANDS LÄN</t>
        </is>
      </c>
      <c r="G164" t="inlineStr">
        <is>
          <t>NORBERG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46315</v>
      </c>
      <c r="F165" t="inlineStr">
        <is>
          <t>VÄSTMANLANDS LÄN</t>
        </is>
      </c>
      <c r="G165" t="inlineStr">
        <is>
          <t>NORBERG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46315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46253</v>
      </c>
      <c r="E167" s="1" t="n">
        <v>46315</v>
      </c>
      <c r="F167" t="inlineStr">
        <is>
          <t>VÄSTMANLANDS LÄN</t>
        </is>
      </c>
      <c r="G167" t="inlineStr">
        <is>
          <t>NORBERG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46315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46315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46315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46315</v>
      </c>
      <c r="F171" t="inlineStr">
        <is>
          <t>VÄSTMANLANDS LÄN</t>
        </is>
      </c>
      <c r="G171" t="inlineStr">
        <is>
          <t>NORBERG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46315</v>
      </c>
      <c r="F172" t="inlineStr">
        <is>
          <t>VÄSTMANLANDS LÄN</t>
        </is>
      </c>
      <c r="G172" t="inlineStr">
        <is>
          <t>NORBERG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46315</v>
      </c>
      <c r="F173" t="inlineStr">
        <is>
          <t>VÄSTMANLANDS LÄN</t>
        </is>
      </c>
      <c r="G173" t="inlineStr">
        <is>
          <t>NORBERG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46315</v>
      </c>
      <c r="F174" t="inlineStr">
        <is>
          <t>VÄSTMANLANDS LÄN</t>
        </is>
      </c>
      <c r="G174" t="inlineStr">
        <is>
          <t>NORBERG</t>
        </is>
      </c>
      <c r="H174" t="inlineStr">
        <is>
          <t>Övriga Aktiebolag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46315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46315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46315</v>
      </c>
      <c r="F177" t="inlineStr">
        <is>
          <t>VÄSTMANLANDS LÄN</t>
        </is>
      </c>
      <c r="G177" t="inlineStr">
        <is>
          <t>NORBERG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46303</v>
      </c>
      <c r="E178" s="1" t="n">
        <v>46315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45576</v>
      </c>
      <c r="E179" s="1" t="n">
        <v>46315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46303</v>
      </c>
      <c r="E180" s="1" t="n">
        <v>46315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46303</v>
      </c>
      <c r="E181" s="1" t="n">
        <v>46315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46315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46315</v>
      </c>
      <c r="F183" t="inlineStr">
        <is>
          <t>VÄSTMANLANDS LÄN</t>
        </is>
      </c>
      <c r="G183" t="inlineStr">
        <is>
          <t>NORBERG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46315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46315</v>
      </c>
      <c r="F185" t="inlineStr">
        <is>
          <t>VÄSTMANLANDS LÄN</t>
        </is>
      </c>
      <c r="G185" t="inlineStr">
        <is>
          <t>NORBERG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46315</v>
      </c>
      <c r="F186" t="inlineStr">
        <is>
          <t>VÄSTMANLANDS LÄN</t>
        </is>
      </c>
      <c r="G186" t="inlineStr">
        <is>
          <t>NORBERG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46315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46315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46315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46315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46315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15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46315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46315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46315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46315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2026-10-20T01:54:07Z</dcterms:created>
  <dcterms:modified xmlns:dcterms="http://purl.org/dc/terms/" xmlns:xsi="http://www.w3.org/2001/XMLSchema-instance" xsi:type="dcterms:W3CDTF">2026-10-20T01:54:08Z</dcterms:modified>
</cp:coreProperties>
</file>