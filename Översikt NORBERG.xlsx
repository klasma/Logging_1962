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46233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46233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46233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46233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46233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46233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46233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Plattlummer</t>
        </is>
      </c>
      <c r="W9">
        <f>HYPERLINK("https://klasma.github.io/Logging_1962/artfynd/A 20257-2025 artfynd.xlsx", "A 20257-2025")</f>
        <v/>
      </c>
      <c r="X9">
        <f>HYPERLINK("https://klasma.github.io/Logging_1962/kartor/A 20257-2025 karta.png", "A 20257-2025")</f>
        <v/>
      </c>
      <c r="Y9">
        <f>HYPERLINK("https://klasma.github.io/Logging_1962/kartor_geotiff/A 20257-2025 georefererad karta.tif", "A 20257-2025")</f>
        <v/>
      </c>
      <c r="AA9">
        <f>HYPERLINK("https://klasma.github.io/Logging_1962/klagomål/A 20257-2025 FSC-klagomål.docx", "A 20257-2025")</f>
        <v/>
      </c>
      <c r="AB9">
        <f>HYPERLINK("https://klasma.github.io/Logging_1962/klagomålsmail/A 20257-2025 FSC-klagomål mail.docx", "A 20257-2025")</f>
        <v/>
      </c>
      <c r="AC9">
        <f>HYPERLINK("https://klasma.github.io/Logging_1962/tillsyn/A 20257-2025 tillsynsbegäran.docx", "A 20257-2025")</f>
        <v/>
      </c>
      <c r="AD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46233</v>
      </c>
      <c r="F10" t="inlineStr">
        <is>
          <t>VÄSTMANLANDS LÄN</t>
        </is>
      </c>
      <c r="G10" t="inlineStr">
        <is>
          <t>NORBERG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HYPERLINK("https://klasma.github.io/Logging_1962/artfynd/A 52063-2022 artfynd.xlsx", "A 52063-2022")</f>
        <v/>
      </c>
      <c r="X10">
        <f>HYPERLINK("https://klasma.github.io/Logging_1962/kartor/A 52063-2022 karta.png", "A 52063-2022")</f>
        <v/>
      </c>
      <c r="Y10">
        <f>HYPERLINK("https://klasma.github.io/Logging_1962/kartor_geotiff/A 52063-2022 georefererad karta.tif", "A 52063-2022")</f>
        <v/>
      </c>
      <c r="AA10">
        <f>HYPERLINK("https://klasma.github.io/Logging_1962/klagomål/A 52063-2022 FSC-klagomål.docx", "A 52063-2022")</f>
        <v/>
      </c>
      <c r="AB10">
        <f>HYPERLINK("https://klasma.github.io/Logging_1962/klagomålsmail/A 52063-2022 FSC-klagomål mail.docx", "A 52063-2022")</f>
        <v/>
      </c>
      <c r="AC10">
        <f>HYPERLINK("https://klasma.github.io/Logging_1962/tillsyn/A 52063-2022 tillsynsbegäran.docx", "A 52063-2022")</f>
        <v/>
      </c>
      <c r="AD10">
        <f>HYPERLINK("https://klasma.github.io/Logging_1962/tillsynsmail/A 52063-2022 tillsynsbegäran mail.docx", "A 52063-2022")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46233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HYPERLINK("https://klasma.github.io/Logging_1962/artfynd/A 38017-2025 artfynd.xlsx", "A 38017-2025")</f>
        <v/>
      </c>
      <c r="X11">
        <f>HYPERLINK("https://klasma.github.io/Logging_1962/kartor/A 38017-2025 karta.png", "A 38017-2025")</f>
        <v/>
      </c>
      <c r="Y11">
        <f>HYPERLINK("https://klasma.github.io/Logging_1962/kartor_geotiff/A 38017-2025 georefererad karta.tif", "A 38017-2025")</f>
        <v/>
      </c>
      <c r="AA11">
        <f>HYPERLINK("https://klasma.github.io/Logging_1962/klagomål/A 38017-2025 FSC-klagomål.docx", "A 38017-2025")</f>
        <v/>
      </c>
      <c r="AB11">
        <f>HYPERLINK("https://klasma.github.io/Logging_1962/klagomålsmail/A 38017-2025 FSC-klagomål mail.docx", "A 38017-2025")</f>
        <v/>
      </c>
      <c r="AC11">
        <f>HYPERLINK("https://klasma.github.io/Logging_1962/tillsyn/A 38017-2025 tillsynsbegäran.docx", "A 38017-2025")</f>
        <v/>
      </c>
      <c r="AD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46233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46233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46233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46233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28307-2026 artfynd.xlsx", "A 28307-2026")</f>
        <v/>
      </c>
      <c r="X15">
        <f>HYPERLINK("https://klasma.github.io/Logging_1962/kartor/A 28307-2026 karta.png", "A 28307-2026")</f>
        <v/>
      </c>
      <c r="Y15">
        <f>HYPERLINK("https://klasma.github.io/Logging_1962/kartor_geotiff/A 28307-2026 georefererad karta.tif", "A 28307-2026")</f>
        <v/>
      </c>
      <c r="AA15">
        <f>HYPERLINK("https://klasma.github.io/Logging_1962/klagomål/A 28307-2026 FSC-klagomål.docx", "A 28307-2026")</f>
        <v/>
      </c>
      <c r="AB15">
        <f>HYPERLINK("https://klasma.github.io/Logging_1962/klagomålsmail/A 28307-2026 FSC-klagomål mail.docx", "A 28307-2026")</f>
        <v/>
      </c>
      <c r="AC15">
        <f>HYPERLINK("https://klasma.github.io/Logging_1962/tillsyn/A 28307-2026 tillsynsbegäran.docx", "A 28307-2026")</f>
        <v/>
      </c>
      <c r="AD15">
        <f>HYPERLINK("https://klasma.github.io/Logging_1962/tillsynsmail/A 28307-2026 tillsynsbegäran mail.docx", "A 28307-2026")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46233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46233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46233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46233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46233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46233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46233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46233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46233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46233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46233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46233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46233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46233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46233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46233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46233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46233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46233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46233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46233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46233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2312-2022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44578</v>
      </c>
      <c r="E39" s="1" t="n">
        <v>46233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46233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46233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67356-2021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46233</v>
      </c>
      <c r="F42" t="inlineStr">
        <is>
          <t>VÄSTMANLANDS LÄN</t>
        </is>
      </c>
      <c r="G42" t="inlineStr">
        <is>
          <t>NORBERG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46233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46233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46233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45320</v>
      </c>
      <c r="E46" s="1" t="n">
        <v>46233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46233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46233</v>
      </c>
      <c r="F48" t="inlineStr">
        <is>
          <t>VÄSTMANLANDS LÄN</t>
        </is>
      </c>
      <c r="G48" t="inlineStr">
        <is>
          <t>NORBERG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36905-2023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45154</v>
      </c>
      <c r="E49" s="1" t="n">
        <v>46233</v>
      </c>
      <c r="F49" t="inlineStr">
        <is>
          <t>VÄSTMANLANDS LÄN</t>
        </is>
      </c>
      <c r="G49" t="inlineStr">
        <is>
          <t>NORBERG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25477-2023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46233</v>
      </c>
      <c r="F50" t="inlineStr">
        <is>
          <t>VÄSTMANLANDS LÄN</t>
        </is>
      </c>
      <c r="G50" t="inlineStr">
        <is>
          <t>NORBERG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20378-2023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45056</v>
      </c>
      <c r="E51" s="1" t="n">
        <v>46233</v>
      </c>
      <c r="F51" t="inlineStr">
        <is>
          <t>VÄSTMANLANDS LÄN</t>
        </is>
      </c>
      <c r="G51" t="inlineStr">
        <is>
          <t>NORBERG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16629-2024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45408</v>
      </c>
      <c r="E52" s="1" t="n">
        <v>46233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8.800000000000001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46233</v>
      </c>
      <c r="F53" t="inlineStr">
        <is>
          <t>VÄSTMANLANDS LÄN</t>
        </is>
      </c>
      <c r="G53" t="inlineStr">
        <is>
          <t>NORBERG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46233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46045</v>
      </c>
      <c r="E55" s="1" t="n">
        <v>46233</v>
      </c>
      <c r="F55" t="inlineStr">
        <is>
          <t>VÄSTMANLANDS LÄN</t>
        </is>
      </c>
      <c r="G55" t="inlineStr">
        <is>
          <t>NORBERG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46233</v>
      </c>
      <c r="F56" t="inlineStr">
        <is>
          <t>VÄSTMANLANDS LÄN</t>
        </is>
      </c>
      <c r="G56" t="inlineStr">
        <is>
          <t>NORBERG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37200-2023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46233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46233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46233</v>
      </c>
      <c r="F59" t="inlineStr">
        <is>
          <t>VÄSTMANLANDS LÄN</t>
        </is>
      </c>
      <c r="G59" t="inlineStr">
        <is>
          <t>NORBERG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53224-2024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45613</v>
      </c>
      <c r="E60" s="1" t="n">
        <v>46233</v>
      </c>
      <c r="F60" t="inlineStr">
        <is>
          <t>VÄSTMANLANDS LÄN</t>
        </is>
      </c>
      <c r="G60" t="inlineStr">
        <is>
          <t>NORBERG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51793-2024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46233</v>
      </c>
      <c r="F61" t="inlineStr">
        <is>
          <t>VÄSTMANLANDS LÄN</t>
        </is>
      </c>
      <c r="G61" t="inlineStr">
        <is>
          <t>NORBERG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46233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49001-2025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46233</v>
      </c>
      <c r="F63" t="inlineStr">
        <is>
          <t>VÄSTMANLANDS LÄN</t>
        </is>
      </c>
      <c r="G63" t="inlineStr">
        <is>
          <t>NORBERG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46233</v>
      </c>
      <c r="F64" t="inlineStr">
        <is>
          <t>VÄSTMANLANDS LÄN</t>
        </is>
      </c>
      <c r="G64" t="inlineStr">
        <is>
          <t>NORBERG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46233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46233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46233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60339-2025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45994</v>
      </c>
      <c r="E68" s="1" t="n">
        <v>46233</v>
      </c>
      <c r="F68" t="inlineStr">
        <is>
          <t>VÄSTMANLANDS LÄN</t>
        </is>
      </c>
      <c r="G68" t="inlineStr">
        <is>
          <t>NORBERG</t>
        </is>
      </c>
      <c r="H68" t="inlineStr">
        <is>
          <t>Kommuner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45966</v>
      </c>
      <c r="E69" s="1" t="n">
        <v>46233</v>
      </c>
      <c r="F69" t="inlineStr">
        <is>
          <t>VÄSTMANLANDS LÄN</t>
        </is>
      </c>
      <c r="G69" t="inlineStr">
        <is>
          <t>NORBERG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46233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46233</v>
      </c>
      <c r="F71" t="inlineStr">
        <is>
          <t>VÄSTMANLANDS LÄN</t>
        </is>
      </c>
      <c r="G71" t="inlineStr">
        <is>
          <t>NORBERG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73797-2021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46233</v>
      </c>
      <c r="F72" t="inlineStr">
        <is>
          <t>VÄSTMANLANDS LÄN</t>
        </is>
      </c>
      <c r="G72" t="inlineStr">
        <is>
          <t>NORBERG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46233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45155</v>
      </c>
      <c r="E74" s="1" t="n">
        <v>46233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45200</v>
      </c>
      <c r="E75" s="1" t="n">
        <v>46233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46233</v>
      </c>
      <c r="F76" t="inlineStr">
        <is>
          <t>VÄSTMANLANDS LÄN</t>
        </is>
      </c>
      <c r="G76" t="inlineStr">
        <is>
          <t>NORBERG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45764</v>
      </c>
      <c r="E77" s="1" t="n">
        <v>46233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54143-2025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46233</v>
      </c>
      <c r="F78" t="inlineStr">
        <is>
          <t>VÄSTMANLANDS LÄN</t>
        </is>
      </c>
      <c r="G78" t="inlineStr">
        <is>
          <t>NORBERG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46233</v>
      </c>
      <c r="F79" t="inlineStr">
        <is>
          <t>VÄSTMANLANDS LÄN</t>
        </is>
      </c>
      <c r="G79" t="inlineStr">
        <is>
          <t>NORBERG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13471-2026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46093</v>
      </c>
      <c r="E80" s="1" t="n">
        <v>46233</v>
      </c>
      <c r="F80" t="inlineStr">
        <is>
          <t>VÄSTMANLANDS LÄN</t>
        </is>
      </c>
      <c r="G80" t="inlineStr">
        <is>
          <t>NORBERG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46099</v>
      </c>
      <c r="E81" s="1" t="n">
        <v>46233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45474</v>
      </c>
      <c r="E82" s="1" t="n">
        <v>46233</v>
      </c>
      <c r="F82" t="inlineStr">
        <is>
          <t>VÄSTMANLANDS LÄN</t>
        </is>
      </c>
      <c r="G82" t="inlineStr">
        <is>
          <t>NORBERG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46233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46233</v>
      </c>
      <c r="F84" t="inlineStr">
        <is>
          <t>VÄSTMANLANDS LÄN</t>
        </is>
      </c>
      <c r="G84" t="inlineStr">
        <is>
          <t>NORBERG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15263-2026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46233</v>
      </c>
      <c r="F85" t="inlineStr">
        <is>
          <t>VÄSTMANLANDS LÄN</t>
        </is>
      </c>
      <c r="G85" t="inlineStr">
        <is>
          <t>NORBERG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46233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46233</v>
      </c>
      <c r="F87" t="inlineStr">
        <is>
          <t>VÄSTMANLANDS LÄN</t>
        </is>
      </c>
      <c r="G87" t="inlineStr">
        <is>
          <t>NORBERG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46233</v>
      </c>
      <c r="F88" t="inlineStr">
        <is>
          <t>VÄSTMANLANDS LÄN</t>
        </is>
      </c>
      <c r="G88" t="inlineStr">
        <is>
          <t>NORBERG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62881-2025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46233</v>
      </c>
      <c r="F89" t="inlineStr">
        <is>
          <t>VÄSTMANLANDS LÄN</t>
        </is>
      </c>
      <c r="G89" t="inlineStr">
        <is>
          <t>NORBERG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46233</v>
      </c>
      <c r="F90" t="inlineStr">
        <is>
          <t>VÄSTMANLANDS LÄN</t>
        </is>
      </c>
      <c r="G90" t="inlineStr">
        <is>
          <t>NORBERG</t>
        </is>
      </c>
      <c r="I90" t="n">
        <v>22.8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46233</v>
      </c>
      <c r="F91" t="inlineStr">
        <is>
          <t>VÄSTMANLANDS LÄN</t>
        </is>
      </c>
      <c r="G91" t="inlineStr">
        <is>
          <t>NORBERG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46233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28589-2023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46233</v>
      </c>
      <c r="F93" t="inlineStr">
        <is>
          <t>VÄSTMANLANDS LÄN</t>
        </is>
      </c>
      <c r="G93" t="inlineStr">
        <is>
          <t>NORBERG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63907-2025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46020</v>
      </c>
      <c r="E94" s="1" t="n">
        <v>46233</v>
      </c>
      <c r="F94" t="inlineStr">
        <is>
          <t>VÄSTMANLANDS LÄN</t>
        </is>
      </c>
      <c r="G94" t="inlineStr">
        <is>
          <t>NORBERG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46233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16383-2026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46233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16897-2026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46113</v>
      </c>
      <c r="E97" s="1" t="n">
        <v>46233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46233</v>
      </c>
      <c r="F98" t="inlineStr">
        <is>
          <t>VÄSTMANLANDS LÄN</t>
        </is>
      </c>
      <c r="G98" t="inlineStr">
        <is>
          <t>NORBERG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46233</v>
      </c>
      <c r="F99" t="inlineStr">
        <is>
          <t>VÄSTMANLANDS LÄN</t>
        </is>
      </c>
      <c r="G99" t="inlineStr">
        <is>
          <t>NORBERG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45089</v>
      </c>
      <c r="E100" s="1" t="n">
        <v>46233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46114</v>
      </c>
      <c r="E101" s="1" t="n">
        <v>46233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46233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11664-2023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44992</v>
      </c>
      <c r="E103" s="1" t="n">
        <v>46233</v>
      </c>
      <c r="F103" t="inlineStr">
        <is>
          <t>VÄSTMANLANDS LÄN</t>
        </is>
      </c>
      <c r="G103" t="inlineStr">
        <is>
          <t>NORBERG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46233</v>
      </c>
      <c r="F104" t="inlineStr">
        <is>
          <t>VÄSTMANLANDS LÄN</t>
        </is>
      </c>
      <c r="G104" t="inlineStr">
        <is>
          <t>NORBERG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46233</v>
      </c>
      <c r="F105" t="inlineStr">
        <is>
          <t>VÄSTMANLANDS LÄN</t>
        </is>
      </c>
      <c r="G105" t="inlineStr">
        <is>
          <t>NORBERG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46233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46233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46233</v>
      </c>
      <c r="F108" t="inlineStr">
        <is>
          <t>VÄSTMANLANDS LÄN</t>
        </is>
      </c>
      <c r="G108" t="inlineStr">
        <is>
          <t>NORBERG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46233</v>
      </c>
      <c r="F109" t="inlineStr">
        <is>
          <t>VÄSTMANLANDS LÄN</t>
        </is>
      </c>
      <c r="G109" t="inlineStr">
        <is>
          <t>NORBERG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56940-2021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44480</v>
      </c>
      <c r="E110" s="1" t="n">
        <v>46233</v>
      </c>
      <c r="F110" t="inlineStr">
        <is>
          <t>VÄSTMANLANDS LÄN</t>
        </is>
      </c>
      <c r="G110" t="inlineStr">
        <is>
          <t>NORBERG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46019</v>
      </c>
      <c r="E111" s="1" t="n">
        <v>46233</v>
      </c>
      <c r="F111" t="inlineStr">
        <is>
          <t>VÄSTMANLANDS LÄN</t>
        </is>
      </c>
      <c r="G111" t="inlineStr">
        <is>
          <t>NORBERG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45554</v>
      </c>
      <c r="E112" s="1" t="n">
        <v>46233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46233</v>
      </c>
      <c r="F113" t="inlineStr">
        <is>
          <t>VÄSTMANLANDS LÄN</t>
        </is>
      </c>
      <c r="G113" t="inlineStr">
        <is>
          <t>NORBERG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46233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46233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45598</v>
      </c>
      <c r="E116" s="1" t="n">
        <v>46233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45121</v>
      </c>
      <c r="E117" s="1" t="n">
        <v>46233</v>
      </c>
      <c r="F117" t="inlineStr">
        <is>
          <t>VÄSTMANLANDS LÄN</t>
        </is>
      </c>
      <c r="G117" t="inlineStr">
        <is>
          <t>NORBERG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46233</v>
      </c>
      <c r="F118" t="inlineStr">
        <is>
          <t>VÄSTMANLANDS LÄN</t>
        </is>
      </c>
      <c r="G118" t="inlineStr">
        <is>
          <t>NORBERG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46233</v>
      </c>
      <c r="F119" t="inlineStr">
        <is>
          <t>VÄSTMANLANDS LÄN</t>
        </is>
      </c>
      <c r="G119" t="inlineStr">
        <is>
          <t>NORBERG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46233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20968-2026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46142</v>
      </c>
      <c r="E121" s="1" t="n">
        <v>46233</v>
      </c>
      <c r="F121" t="inlineStr">
        <is>
          <t>VÄSTMANLANDS LÄN</t>
        </is>
      </c>
      <c r="G121" t="inlineStr">
        <is>
          <t>NORBERG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46146</v>
      </c>
      <c r="E122" s="1" t="n">
        <v>46233</v>
      </c>
      <c r="F122" t="inlineStr">
        <is>
          <t>VÄSTMANLANDS LÄN</t>
        </is>
      </c>
      <c r="G122" t="inlineStr">
        <is>
          <t>NORBERG</t>
        </is>
      </c>
      <c r="H122" t="inlineStr">
        <is>
          <t>Bergvik skog väst AB</t>
        </is>
      </c>
      <c r="I122" t="n">
        <v>12.1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46233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46148</v>
      </c>
      <c r="E124" s="1" t="n">
        <v>46233</v>
      </c>
      <c r="F124" t="inlineStr">
        <is>
          <t>VÄSTMANLANDS LÄN</t>
        </is>
      </c>
      <c r="G124" t="inlineStr">
        <is>
          <t>NORBERG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46190</v>
      </c>
      <c r="E125" s="1" t="n">
        <v>46233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46233</v>
      </c>
      <c r="F126" t="inlineStr">
        <is>
          <t>VÄSTMANLANDS LÄN</t>
        </is>
      </c>
      <c r="G126" t="inlineStr">
        <is>
          <t>NORBERG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45639</v>
      </c>
      <c r="E127" s="1" t="n">
        <v>46233</v>
      </c>
      <c r="F127" t="inlineStr">
        <is>
          <t>VÄSTMANLANDS LÄN</t>
        </is>
      </c>
      <c r="G127" t="inlineStr">
        <is>
          <t>NORBERG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46233</v>
      </c>
      <c r="F128" t="inlineStr">
        <is>
          <t>VÄSTMANLANDS LÄN</t>
        </is>
      </c>
      <c r="G128" t="inlineStr">
        <is>
          <t>NORBERG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46233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46153</v>
      </c>
      <c r="E130" s="1" t="n">
        <v>46233</v>
      </c>
      <c r="F130" t="inlineStr">
        <is>
          <t>VÄSTMANLANDS LÄN</t>
        </is>
      </c>
      <c r="G130" t="inlineStr">
        <is>
          <t>NORBERG</t>
        </is>
      </c>
      <c r="H130" t="inlineStr">
        <is>
          <t>Bergvik skog väst AB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46233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21984-2026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46153</v>
      </c>
      <c r="E132" s="1" t="n">
        <v>46233</v>
      </c>
      <c r="F132" t="inlineStr">
        <is>
          <t>VÄSTMANLANDS LÄN</t>
        </is>
      </c>
      <c r="G132" t="inlineStr">
        <is>
          <t>NORBERG</t>
        </is>
      </c>
      <c r="H132" t="inlineStr">
        <is>
          <t>Övriga Aktiebolag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46233</v>
      </c>
      <c r="F133" t="inlineStr">
        <is>
          <t>VÄSTMANLANDS LÄN</t>
        </is>
      </c>
      <c r="G133" t="inlineStr">
        <is>
          <t>NORBERG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40153-2023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46233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46153</v>
      </c>
      <c r="E135" s="1" t="n">
        <v>46233</v>
      </c>
      <c r="F135" t="inlineStr">
        <is>
          <t>VÄSTMANLANDS LÄN</t>
        </is>
      </c>
      <c r="G135" t="inlineStr">
        <is>
          <t>NORBERG</t>
        </is>
      </c>
      <c r="H135" t="inlineStr">
        <is>
          <t>Övriga Aktiebolag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46233</v>
      </c>
      <c r="F136" t="inlineStr">
        <is>
          <t>VÄSTMANLANDS LÄN</t>
        </is>
      </c>
      <c r="G136" t="inlineStr">
        <is>
          <t>NORBERG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46233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46233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28607-2026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46197</v>
      </c>
      <c r="E139" s="1" t="n">
        <v>46233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28608-2026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46233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46233</v>
      </c>
      <c r="F141" t="inlineStr">
        <is>
          <t>VÄSTMANLANDS LÄN</t>
        </is>
      </c>
      <c r="G141" t="inlineStr">
        <is>
          <t>NORBERG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44687</v>
      </c>
      <c r="E142" s="1" t="n">
        <v>46233</v>
      </c>
      <c r="F142" t="inlineStr">
        <is>
          <t>VÄSTMANLANDS LÄN</t>
        </is>
      </c>
      <c r="G142" t="inlineStr">
        <is>
          <t>NORBERG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45226</v>
      </c>
      <c r="E143" s="1" t="n">
        <v>46233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12526-2025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45730</v>
      </c>
      <c r="E144" s="1" t="n">
        <v>46233</v>
      </c>
      <c r="F144" t="inlineStr">
        <is>
          <t>VÄSTMANLANDS LÄN</t>
        </is>
      </c>
      <c r="G144" t="inlineStr">
        <is>
          <t>NORBERG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45049</v>
      </c>
      <c r="E145" s="1" t="n">
        <v>46233</v>
      </c>
      <c r="F145" t="inlineStr">
        <is>
          <t>VÄSTMANLANDS LÄN</t>
        </is>
      </c>
      <c r="G145" t="inlineStr">
        <is>
          <t>NORBERG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56400-2025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45974</v>
      </c>
      <c r="E146" s="1" t="n">
        <v>46233</v>
      </c>
      <c r="F146" t="inlineStr">
        <is>
          <t>VÄSTMANLANDS LÄN</t>
        </is>
      </c>
      <c r="G146" t="inlineStr">
        <is>
          <t>NORBERG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45631</v>
      </c>
      <c r="E147" s="1" t="n">
        <v>46233</v>
      </c>
      <c r="F147" t="inlineStr">
        <is>
          <t>VÄSTMANLANDS LÄN</t>
        </is>
      </c>
      <c r="G147" t="inlineStr">
        <is>
          <t>NORBERG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63505-2023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45274</v>
      </c>
      <c r="E148" s="1" t="n">
        <v>46233</v>
      </c>
      <c r="F148" t="inlineStr">
        <is>
          <t>VÄSTMANLANDS LÄN</t>
        </is>
      </c>
      <c r="G148" t="inlineStr">
        <is>
          <t>NORBERG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46233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46233</v>
      </c>
      <c r="F150" t="inlineStr">
        <is>
          <t>VÄSTMANLANDS LÄN</t>
        </is>
      </c>
      <c r="G150" t="inlineStr">
        <is>
          <t>NORBERG</t>
        </is>
      </c>
      <c r="H150" t="inlineStr">
        <is>
          <t>Övriga Aktiebolag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46233</v>
      </c>
      <c r="F151" t="inlineStr">
        <is>
          <t>VÄSTMANLANDS LÄN</t>
        </is>
      </c>
      <c r="G151" t="inlineStr">
        <is>
          <t>NORBERG</t>
        </is>
      </c>
      <c r="I151" t="n">
        <v>22.4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46233</v>
      </c>
      <c r="F152" t="inlineStr">
        <is>
          <t>VÄSTMANLANDS LÄN</t>
        </is>
      </c>
      <c r="G152" t="inlineStr">
        <is>
          <t>NORBERG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45200</v>
      </c>
      <c r="E153" s="1" t="n">
        <v>46233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46233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46233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46223</v>
      </c>
      <c r="E156" s="1" t="n">
        <v>46233</v>
      </c>
      <c r="F156" t="inlineStr">
        <is>
          <t>VÄSTMANLANDS LÄN</t>
        </is>
      </c>
      <c r="G156" t="inlineStr">
        <is>
          <t>NORBERG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46233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46233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46233</v>
      </c>
      <c r="F159" t="inlineStr">
        <is>
          <t>VÄSTMANLANDS LÄN</t>
        </is>
      </c>
      <c r="G159" t="inlineStr">
        <is>
          <t>NORBERG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46233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46233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46233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46189</v>
      </c>
      <c r="E163" s="1" t="n">
        <v>46233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13.7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45179</v>
      </c>
      <c r="E164" s="1" t="n">
        <v>46233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51790-2024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45607</v>
      </c>
      <c r="E165" s="1" t="n">
        <v>46233</v>
      </c>
      <c r="F165" t="inlineStr">
        <is>
          <t>VÄSTMANLANDS LÄN</t>
        </is>
      </c>
      <c r="G165" t="inlineStr">
        <is>
          <t>NORBERG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46233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46233</v>
      </c>
      <c r="F167" t="inlineStr">
        <is>
          <t>VÄSTMANLANDS LÄN</t>
        </is>
      </c>
      <c r="G167" t="inlineStr">
        <is>
          <t>NORBERG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19377-2025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45769</v>
      </c>
      <c r="E168" s="1" t="n">
        <v>46233</v>
      </c>
      <c r="F168" t="inlineStr">
        <is>
          <t>VÄSTMANLANDS LÄN</t>
        </is>
      </c>
      <c r="G168" t="inlineStr">
        <is>
          <t>NORBERG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31967-2026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46232</v>
      </c>
      <c r="E169" s="1" t="n">
        <v>46233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45316</v>
      </c>
      <c r="E170" s="1" t="n">
        <v>46233</v>
      </c>
      <c r="F170" t="inlineStr">
        <is>
          <t>VÄSTMANLANDS LÄN</t>
        </is>
      </c>
      <c r="G170" t="inlineStr">
        <is>
          <t>NORBERG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46233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46233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44691</v>
      </c>
      <c r="E173" s="1" t="n">
        <v>46233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46233</v>
      </c>
      <c r="F174" t="inlineStr">
        <is>
          <t>VÄSTMANLANDS LÄN</t>
        </is>
      </c>
      <c r="G174" t="inlineStr">
        <is>
          <t>NORBERG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46233</v>
      </c>
      <c r="F175" t="inlineStr">
        <is>
          <t>VÄSTMANLANDS LÄN</t>
        </is>
      </c>
      <c r="G175" t="inlineStr">
        <is>
          <t>NORBERG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45597</v>
      </c>
      <c r="E176" s="1" t="n">
        <v>46233</v>
      </c>
      <c r="F176" t="inlineStr">
        <is>
          <t>VÄSTMANLANDS LÄN</t>
        </is>
      </c>
      <c r="G176" t="inlineStr">
        <is>
          <t>NORBERG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46233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44992</v>
      </c>
      <c r="E178" s="1" t="n">
        <v>46233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46233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46233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46233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46233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46233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46233</v>
      </c>
      <c r="F184" t="inlineStr">
        <is>
          <t>VÄSTMANLANDS LÄN</t>
        </is>
      </c>
      <c r="G184" t="inlineStr">
        <is>
          <t>NORBERG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45576</v>
      </c>
      <c r="E185" s="1" t="n">
        <v>46233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S 409-2022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44585</v>
      </c>
      <c r="E186" s="1" t="n">
        <v>46233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10.9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S 606-2026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46085</v>
      </c>
      <c r="E187" s="1" t="n">
        <v>46233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26.4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2026-07-30T01:51:13Z</dcterms:created>
  <dcterms:modified xmlns:dcterms="http://purl.org/dc/terms/" xmlns:xsi="http://www.w3.org/2001/XMLSchema-instance" xsi:type="dcterms:W3CDTF">2026-07-30T01:51:13Z</dcterms:modified>
</cp:coreProperties>
</file>