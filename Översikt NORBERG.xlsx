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46309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46309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46309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46309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46309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46309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46309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46309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46309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46309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46309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46309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46309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52063-2022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44873</v>
      </c>
      <c r="E16" s="1" t="n">
        <v>46309</v>
      </c>
      <c r="F16" t="inlineStr">
        <is>
          <t>VÄSTMANLANDS LÄN</t>
        </is>
      </c>
      <c r="G16" t="inlineStr">
        <is>
          <t>NORBERG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52063-2022 artfynd.xlsx", "A 52063-2022")</f>
        <v/>
      </c>
      <c r="X16">
        <f>HYPERLINK("https://klasma.github.io/Logging_1962/kartor/A 52063-2022 karta.png", "A 52063-2022")</f>
        <v/>
      </c>
      <c r="Y16">
        <f>HYPERLINK("https://klasma.github.io/Logging_1962/kartor_geotiff/A 52063-2022 georefererad karta.tif", "A 52063-2022")</f>
        <v/>
      </c>
      <c r="AA16">
        <f>HYPERLINK("https://klasma.github.io/Logging_1962/klagomål/A 52063-2022 FSC-klagomål.docx", "A 52063-2022")</f>
        <v/>
      </c>
      <c r="AB16">
        <f>HYPERLINK("https://klasma.github.io/Logging_1962/klagomålsmail/A 52063-2022 FSC-klagomål mail.docx", "A 52063-2022")</f>
        <v/>
      </c>
      <c r="AC16">
        <f>HYPERLINK("https://klasma.github.io/Logging_1962/tillsyn/A 52063-2022 tillsynsbegäran.docx", "A 52063-2022")</f>
        <v/>
      </c>
      <c r="AD16">
        <f>HYPERLINK("https://klasma.github.io/Logging_1962/tillsynsmail/A 52063-2022 tillsynsbegäran mail.docx", "A 52063-2022")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46309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46309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46309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46309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46309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46309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46309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38927-2026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46309</v>
      </c>
      <c r="F24" t="inlineStr">
        <is>
          <t>VÄSTMANLANDS LÄN</t>
        </is>
      </c>
      <c r="G24" t="inlineStr">
        <is>
          <t>NORBERG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HYPERLINK("https://klasma.github.io/Logging_1962/artfynd/A 38927-2026 artfynd.xlsx", "A 38927-2026")</f>
        <v/>
      </c>
      <c r="X24">
        <f>HYPERLINK("https://klasma.github.io/Logging_1962/kartor/A 38927-2026 karta.png", "A 38927-2026")</f>
        <v/>
      </c>
      <c r="Y24">
        <f>HYPERLINK("https://klasma.github.io/Logging_1962/kartor_geotiff/A 38927-2026 georefererad karta.tif", "A 38927-2026")</f>
        <v/>
      </c>
      <c r="AA24">
        <f>HYPERLINK("https://klasma.github.io/Logging_1962/klagomål/A 38927-2026 FSC-klagomål.docx", "A 38927-2026")</f>
        <v/>
      </c>
      <c r="AB24">
        <f>HYPERLINK("https://klasma.github.io/Logging_1962/klagomålsmail/A 38927-2026 FSC-klagomål mail.docx", "A 38927-2026")</f>
        <v/>
      </c>
      <c r="AC24">
        <f>HYPERLINK("https://klasma.github.io/Logging_1962/tillsyn/A 38927-2026 tillsynsbegäran.docx", "A 38927-2026")</f>
        <v/>
      </c>
      <c r="AD24">
        <f>HYPERLINK("https://klasma.github.io/Logging_1962/tillsynsmail/A 38927-2026 tillsynsbegäran mail.docx", "A 38927-2026")</f>
        <v/>
      </c>
    </row>
    <row r="25" ht="15" customHeight="1">
      <c r="A25" t="inlineStr">
        <is>
          <t>A 61099-2024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46309</v>
      </c>
      <c r="F25" t="inlineStr">
        <is>
          <t>VÄSTMANLANDS LÄN</t>
        </is>
      </c>
      <c r="G25" t="inlineStr">
        <is>
          <t>NORBERG</t>
        </is>
      </c>
      <c r="I25" t="n">
        <v>0.4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HYPERLINK("https://klasma.github.io/Logging_1962/artfynd/A 61099-2024 artfynd.xlsx", "A 61099-2024")</f>
        <v/>
      </c>
      <c r="X25">
        <f>HYPERLINK("https://klasma.github.io/Logging_1962/kartor/A 61099-2024 karta.png", "A 61099-2024")</f>
        <v/>
      </c>
      <c r="Y25">
        <f>HYPERLINK("https://klasma.github.io/Logging_1962/kartor_geotiff/A 61099-2024 georefererad karta.tif", "A 61099-2024")</f>
        <v/>
      </c>
      <c r="AA25">
        <f>HYPERLINK("https://klasma.github.io/Logging_1962/klagomål/A 61099-2024 FSC-klagomål.docx", "A 61099-2024")</f>
        <v/>
      </c>
      <c r="AB25">
        <f>HYPERLINK("https://klasma.github.io/Logging_1962/klagomålsmail/A 61099-2024 FSC-klagomål mail.docx", "A 61099-2024")</f>
        <v/>
      </c>
      <c r="AC25">
        <f>HYPERLINK("https://klasma.github.io/Logging_1962/tillsyn/A 61099-2024 tillsynsbegäran.docx", "A 61099-2024")</f>
        <v/>
      </c>
      <c r="AD25">
        <f>HYPERLINK("https://klasma.github.io/Logging_1962/tillsynsmail/A 61099-2024 tillsynsbegäran mail.docx", "A 61099-2024")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46309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34234-2026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46309</v>
      </c>
      <c r="F27" t="inlineStr">
        <is>
          <t>VÄSTMANLANDS LÄN</t>
        </is>
      </c>
      <c r="G27" t="inlineStr">
        <is>
          <t>NORBERG</t>
        </is>
      </c>
      <c r="I27" t="n">
        <v>0.8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34234-2026 artfynd.xlsx", "A 34234-2026")</f>
        <v/>
      </c>
      <c r="X27">
        <f>HYPERLINK("https://klasma.github.io/Logging_1962/kartor/A 34234-2026 karta.png", "A 34234-2026")</f>
        <v/>
      </c>
      <c r="Y27">
        <f>HYPERLINK("https://klasma.github.io/Logging_1962/kartor_geotiff/A 34234-2026 georefererad karta.tif", "A 34234-2026")</f>
        <v/>
      </c>
      <c r="AA27">
        <f>HYPERLINK("https://klasma.github.io/Logging_1962/klagomål/A 34234-2026 FSC-klagomål.docx", "A 34234-2026")</f>
        <v/>
      </c>
      <c r="AB27">
        <f>HYPERLINK("https://klasma.github.io/Logging_1962/klagomålsmail/A 34234-2026 FSC-klagomål mail.docx", "A 34234-2026")</f>
        <v/>
      </c>
      <c r="AC27">
        <f>HYPERLINK("https://klasma.github.io/Logging_1962/tillsyn/A 34234-2026 tillsynsbegäran.docx", "A 34234-2026")</f>
        <v/>
      </c>
      <c r="AD27">
        <f>HYPERLINK("https://klasma.github.io/Logging_1962/tillsynsmail/A 34234-2026 tillsynsbegäran mail.docx", "A 34234-2026")</f>
        <v/>
      </c>
    </row>
    <row r="28" ht="15" customHeight="1">
      <c r="A28" t="inlineStr">
        <is>
          <t>A 41909-2026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46303</v>
      </c>
      <c r="E28" s="1" t="n">
        <v>46309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Plattlummer</t>
        </is>
      </c>
      <c r="W28">
        <f>HYPERLINK("https://klasma.github.io/Logging_1962/artfynd/A 41909-2026 artfynd.xlsx", "A 41909-2026")</f>
        <v/>
      </c>
      <c r="X28">
        <f>HYPERLINK("https://klasma.github.io/Logging_1962/kartor/A 41909-2026 karta.png", "A 41909-2026")</f>
        <v/>
      </c>
      <c r="Y28">
        <f>HYPERLINK("https://klasma.github.io/Logging_1962/kartor_geotiff/A 41909-2026 georefererad karta.tif", "A 41909-2026")</f>
        <v/>
      </c>
      <c r="AA28">
        <f>HYPERLINK("https://klasma.github.io/Logging_1962/klagomål/A 41909-2026 FSC-klagomål.docx", "A 41909-2026")</f>
        <v/>
      </c>
      <c r="AB28">
        <f>HYPERLINK("https://klasma.github.io/Logging_1962/klagomålsmail/A 41909-2026 FSC-klagomål mail.docx", "A 41909-2026")</f>
        <v/>
      </c>
      <c r="AC28">
        <f>HYPERLINK("https://klasma.github.io/Logging_1962/tillsyn/A 41909-2026 tillsynsbegäran.docx", "A 41909-2026")</f>
        <v/>
      </c>
      <c r="AD28">
        <f>HYPERLINK("https://klasma.github.io/Logging_1962/tillsynsmail/A 41909-2026 tillsynsbegäran mail.docx", "A 41909-2026")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46309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46309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46309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46309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46309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46309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46309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46309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46309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46309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46309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46309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46309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46309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46309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46309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46309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46309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46309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27589-2024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45474</v>
      </c>
      <c r="E48" s="1" t="n">
        <v>46309</v>
      </c>
      <c r="F48" t="inlineStr">
        <is>
          <t>VÄSTMANLANDS LÄN</t>
        </is>
      </c>
      <c r="G48" t="inlineStr">
        <is>
          <t>NORBERG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67356-2021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46309</v>
      </c>
      <c r="F49" t="inlineStr">
        <is>
          <t>VÄSTMANLANDS LÄN</t>
        </is>
      </c>
      <c r="G49" t="inlineStr">
        <is>
          <t>NORBERG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46014</v>
      </c>
      <c r="E50" s="1" t="n">
        <v>46309</v>
      </c>
      <c r="F50" t="inlineStr">
        <is>
          <t>VÄSTMANLANDS LÄN</t>
        </is>
      </c>
      <c r="G50" t="inlineStr">
        <is>
          <t>NORBERG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46309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23433-2025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46309</v>
      </c>
      <c r="F52" t="inlineStr">
        <is>
          <t>VÄSTMANLANDS LÄN</t>
        </is>
      </c>
      <c r="G52" t="inlineStr">
        <is>
          <t>NORBERG</t>
        </is>
      </c>
      <c r="H52" t="inlineStr">
        <is>
          <t>Övriga Aktiebolag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46020</v>
      </c>
      <c r="E53" s="1" t="n">
        <v>46309</v>
      </c>
      <c r="F53" t="inlineStr">
        <is>
          <t>VÄSTMANLANDS LÄN</t>
        </is>
      </c>
      <c r="G53" t="inlineStr">
        <is>
          <t>NORBERG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45320</v>
      </c>
      <c r="E54" s="1" t="n">
        <v>46309</v>
      </c>
      <c r="F54" t="inlineStr">
        <is>
          <t>VÄSTMANLANDS LÄN</t>
        </is>
      </c>
      <c r="G54" t="inlineStr">
        <is>
          <t>NORBERG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45274</v>
      </c>
      <c r="E55" s="1" t="n">
        <v>46309</v>
      </c>
      <c r="F55" t="inlineStr">
        <is>
          <t>VÄSTMANLANDS LÄN</t>
        </is>
      </c>
      <c r="G55" t="inlineStr">
        <is>
          <t>NORBERG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36905-2023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45154</v>
      </c>
      <c r="E56" s="1" t="n">
        <v>46309</v>
      </c>
      <c r="F56" t="inlineStr">
        <is>
          <t>VÄSTMANLANDS LÄN</t>
        </is>
      </c>
      <c r="G56" t="inlineStr">
        <is>
          <t>NORBERG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45290-2024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46309</v>
      </c>
      <c r="F57" t="inlineStr">
        <is>
          <t>VÄSTMANLANDS LÄN</t>
        </is>
      </c>
      <c r="G57" t="inlineStr">
        <is>
          <t>NORBERG</t>
        </is>
      </c>
      <c r="H57" t="inlineStr">
        <is>
          <t>Övriga Aktiebolag</t>
        </is>
      </c>
      <c r="I57" t="n">
        <v>9.300000000000001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45169</v>
      </c>
      <c r="E58" s="1" t="n">
        <v>46309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8746-2023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44973</v>
      </c>
      <c r="E59" s="1" t="n">
        <v>46309</v>
      </c>
      <c r="F59" t="inlineStr">
        <is>
          <t>VÄSTMANLANDS LÄN</t>
        </is>
      </c>
      <c r="G59" t="inlineStr">
        <is>
          <t>NORBERG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25477-2023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45089</v>
      </c>
      <c r="E60" s="1" t="n">
        <v>46309</v>
      </c>
      <c r="F60" t="inlineStr">
        <is>
          <t>VÄSTMANLANDS LÄN</t>
        </is>
      </c>
      <c r="G60" t="inlineStr">
        <is>
          <t>NORBERG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46309</v>
      </c>
      <c r="F61" t="inlineStr">
        <is>
          <t>VÄSTMANLANDS LÄN</t>
        </is>
      </c>
      <c r="G61" t="inlineStr">
        <is>
          <t>NORBERG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46309</v>
      </c>
      <c r="F62" t="inlineStr">
        <is>
          <t>VÄSTMANLANDS LÄN</t>
        </is>
      </c>
      <c r="G62" t="inlineStr">
        <is>
          <t>NORBERG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30211-2025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46309</v>
      </c>
      <c r="F63" t="inlineStr">
        <is>
          <t>VÄSTMANLANDS LÄN</t>
        </is>
      </c>
      <c r="G63" t="inlineStr">
        <is>
          <t>NORBERG</t>
        </is>
      </c>
      <c r="H63" t="inlineStr">
        <is>
          <t>Övriga Aktiebolag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20378-2023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45056</v>
      </c>
      <c r="E64" s="1" t="n">
        <v>46309</v>
      </c>
      <c r="F64" t="inlineStr">
        <is>
          <t>VÄSTMANLANDS LÄN</t>
        </is>
      </c>
      <c r="G64" t="inlineStr">
        <is>
          <t>NORBERG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46309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8.800000000000001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46309</v>
      </c>
      <c r="F66" t="inlineStr">
        <is>
          <t>VÄSTMANLANDS LÄN</t>
        </is>
      </c>
      <c r="G66" t="inlineStr">
        <is>
          <t>NORBERG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46309</v>
      </c>
      <c r="F67" t="inlineStr">
        <is>
          <t>VÄSTMANLANDS LÄN</t>
        </is>
      </c>
      <c r="G67" t="inlineStr">
        <is>
          <t>NORBERG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16042-2024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46309</v>
      </c>
      <c r="F68" t="inlineStr">
        <is>
          <t>VÄSTMANLANDS LÄN</t>
        </is>
      </c>
      <c r="G68" t="inlineStr">
        <is>
          <t>NORBERG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46309</v>
      </c>
      <c r="F69" t="inlineStr">
        <is>
          <t>VÄSTMANLANDS LÄN</t>
        </is>
      </c>
      <c r="G69" t="inlineStr">
        <is>
          <t>NORBERG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46309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7744-2023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46309</v>
      </c>
      <c r="F71" t="inlineStr">
        <is>
          <t>VÄSTMANLANDS LÄN</t>
        </is>
      </c>
      <c r="G71" t="inlineStr">
        <is>
          <t>NORBERG</t>
        </is>
      </c>
      <c r="H71" t="inlineStr">
        <is>
          <t>Övriga Aktiebolag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45882</v>
      </c>
      <c r="E72" s="1" t="n">
        <v>46309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15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45882</v>
      </c>
      <c r="E73" s="1" t="n">
        <v>46309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45966</v>
      </c>
      <c r="E74" s="1" t="n">
        <v>46309</v>
      </c>
      <c r="F74" t="inlineStr">
        <is>
          <t>VÄSTMANLANDS LÄN</t>
        </is>
      </c>
      <c r="G74" t="inlineStr">
        <is>
          <t>NORBERG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46309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53224-2024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45613</v>
      </c>
      <c r="E76" s="1" t="n">
        <v>46309</v>
      </c>
      <c r="F76" t="inlineStr">
        <is>
          <t>VÄSTMANLANDS LÄN</t>
        </is>
      </c>
      <c r="G76" t="inlineStr">
        <is>
          <t>NORBERG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45607</v>
      </c>
      <c r="E77" s="1" t="n">
        <v>46309</v>
      </c>
      <c r="F77" t="inlineStr">
        <is>
          <t>VÄSTMANLANDS LÄN</t>
        </is>
      </c>
      <c r="G77" t="inlineStr">
        <is>
          <t>NORBERG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45363</v>
      </c>
      <c r="E78" s="1" t="n">
        <v>46309</v>
      </c>
      <c r="F78" t="inlineStr">
        <is>
          <t>VÄSTMANLANDS LÄN</t>
        </is>
      </c>
      <c r="G78" t="inlineStr">
        <is>
          <t>NORBERG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45989</v>
      </c>
      <c r="E79" s="1" t="n">
        <v>46309</v>
      </c>
      <c r="F79" t="inlineStr">
        <is>
          <t>VÄSTMANLANDS LÄN</t>
        </is>
      </c>
      <c r="G79" t="inlineStr">
        <is>
          <t>NORBERG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45964</v>
      </c>
      <c r="E80" s="1" t="n">
        <v>46309</v>
      </c>
      <c r="F80" t="inlineStr">
        <is>
          <t>VÄSTMANLANDS LÄN</t>
        </is>
      </c>
      <c r="G80" t="inlineStr">
        <is>
          <t>NORBERG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60339-2025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45994</v>
      </c>
      <c r="E81" s="1" t="n">
        <v>46309</v>
      </c>
      <c r="F81" t="inlineStr">
        <is>
          <t>VÄSTMANLANDS LÄN</t>
        </is>
      </c>
      <c r="G81" t="inlineStr">
        <is>
          <t>NORBERG</t>
        </is>
      </c>
      <c r="H81" t="inlineStr">
        <is>
          <t>Kommuner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46006</v>
      </c>
      <c r="E82" s="1" t="n">
        <v>46309</v>
      </c>
      <c r="F82" t="inlineStr">
        <is>
          <t>VÄSTMANLANDS LÄN</t>
        </is>
      </c>
      <c r="G82" t="inlineStr">
        <is>
          <t>NORBERG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46309</v>
      </c>
      <c r="F83" t="inlineStr">
        <is>
          <t>VÄSTMANLANDS LÄN</t>
        </is>
      </c>
      <c r="G83" t="inlineStr">
        <is>
          <t>NORBERG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62882-2025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46309</v>
      </c>
      <c r="F84" t="inlineStr">
        <is>
          <t>VÄSTMANLANDS LÄN</t>
        </is>
      </c>
      <c r="G84" t="inlineStr">
        <is>
          <t>NORBERG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46309</v>
      </c>
      <c r="F85" t="inlineStr">
        <is>
          <t>VÄSTMANLANDS LÄN</t>
        </is>
      </c>
      <c r="G85" t="inlineStr">
        <is>
          <t>NORBERG</t>
        </is>
      </c>
      <c r="I85" t="n">
        <v>22.8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45169</v>
      </c>
      <c r="E86" s="1" t="n">
        <v>46309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45705</v>
      </c>
      <c r="E87" s="1" t="n">
        <v>46309</v>
      </c>
      <c r="F87" t="inlineStr">
        <is>
          <t>VÄSTMANLANDS LÄN</t>
        </is>
      </c>
      <c r="G87" t="inlineStr">
        <is>
          <t>NORBERG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73797-2021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44552</v>
      </c>
      <c r="E88" s="1" t="n">
        <v>46309</v>
      </c>
      <c r="F88" t="inlineStr">
        <is>
          <t>VÄSTMANLANDS LÄN</t>
        </is>
      </c>
      <c r="G88" t="inlineStr">
        <is>
          <t>NORBERG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14234-2026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46099</v>
      </c>
      <c r="E89" s="1" t="n">
        <v>46309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45155</v>
      </c>
      <c r="E90" s="1" t="n">
        <v>46309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15261-2026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46309</v>
      </c>
      <c r="F91" t="inlineStr">
        <is>
          <t>VÄSTMANLANDS LÄN</t>
        </is>
      </c>
      <c r="G91" t="inlineStr">
        <is>
          <t>NORBERG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15263-2026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46105</v>
      </c>
      <c r="E92" s="1" t="n">
        <v>46309</v>
      </c>
      <c r="F92" t="inlineStr">
        <is>
          <t>VÄSTMANLANDS LÄN</t>
        </is>
      </c>
      <c r="G92" t="inlineStr">
        <is>
          <t>NORBERG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15265-2026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46105</v>
      </c>
      <c r="E93" s="1" t="n">
        <v>46309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45200</v>
      </c>
      <c r="E94" s="1" t="n">
        <v>46309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46108</v>
      </c>
      <c r="E95" s="1" t="n">
        <v>46309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18960-2025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45764</v>
      </c>
      <c r="E96" s="1" t="n">
        <v>46309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16383-2026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46309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46113</v>
      </c>
      <c r="E98" s="1" t="n">
        <v>46309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17063-2026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46114</v>
      </c>
      <c r="E99" s="1" t="n">
        <v>46309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46309</v>
      </c>
      <c r="F100" t="inlineStr">
        <is>
          <t>VÄSTMANLANDS LÄN</t>
        </is>
      </c>
      <c r="G100" t="inlineStr">
        <is>
          <t>NORBERG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46309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46309</v>
      </c>
      <c r="F102" t="inlineStr">
        <is>
          <t>VÄSTMANLANDS LÄN</t>
        </is>
      </c>
      <c r="G102" t="inlineStr">
        <is>
          <t>NORBERG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36443-2024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46309</v>
      </c>
      <c r="F103" t="inlineStr">
        <is>
          <t>VÄSTMANLANDS LÄN</t>
        </is>
      </c>
      <c r="G103" t="inlineStr">
        <is>
          <t>NORBERG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46309</v>
      </c>
      <c r="F104" t="inlineStr">
        <is>
          <t>VÄSTMANLANDS LÄN</t>
        </is>
      </c>
      <c r="G104" t="inlineStr">
        <is>
          <t>NORBERG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45191</v>
      </c>
      <c r="E105" s="1" t="n">
        <v>46309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25540-2023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45089</v>
      </c>
      <c r="E106" s="1" t="n">
        <v>46309</v>
      </c>
      <c r="F106" t="inlineStr">
        <is>
          <t>VÄSTMANLANDS LÄN</t>
        </is>
      </c>
      <c r="G106" t="inlineStr">
        <is>
          <t>NORBERG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45554</v>
      </c>
      <c r="E107" s="1" t="n">
        <v>46309</v>
      </c>
      <c r="F107" t="inlineStr">
        <is>
          <t>VÄSTMANLANDS LÄN</t>
        </is>
      </c>
      <c r="G107" t="inlineStr">
        <is>
          <t>NORBERG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40140-2023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45169</v>
      </c>
      <c r="E108" s="1" t="n">
        <v>46309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11664-2023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44992</v>
      </c>
      <c r="E109" s="1" t="n">
        <v>46309</v>
      </c>
      <c r="F109" t="inlineStr">
        <is>
          <t>VÄSTMANLANDS LÄN</t>
        </is>
      </c>
      <c r="G109" t="inlineStr">
        <is>
          <t>NORBERG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45598</v>
      </c>
      <c r="E110" s="1" t="n">
        <v>46309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46309</v>
      </c>
      <c r="F111" t="inlineStr">
        <is>
          <t>VÄSTMANLANDS LÄN</t>
        </is>
      </c>
      <c r="G111" t="inlineStr">
        <is>
          <t>NORBERG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46309</v>
      </c>
      <c r="F112" t="inlineStr">
        <is>
          <t>VÄSTMANLANDS LÄN</t>
        </is>
      </c>
      <c r="G112" t="inlineStr">
        <is>
          <t>NORBERG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45028</v>
      </c>
      <c r="E113" s="1" t="n">
        <v>46309</v>
      </c>
      <c r="F113" t="inlineStr">
        <is>
          <t>VÄSTMANLANDS LÄN</t>
        </is>
      </c>
      <c r="G113" t="inlineStr">
        <is>
          <t>NORBERG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45567</v>
      </c>
      <c r="E114" s="1" t="n">
        <v>46309</v>
      </c>
      <c r="F114" t="inlineStr">
        <is>
          <t>VÄSTMANLANDS LÄN</t>
        </is>
      </c>
      <c r="G114" t="inlineStr">
        <is>
          <t>NORBERG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20968-2026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46142</v>
      </c>
      <c r="E115" s="1" t="n">
        <v>46309</v>
      </c>
      <c r="F115" t="inlineStr">
        <is>
          <t>VÄSTMANLANDS LÄN</t>
        </is>
      </c>
      <c r="G115" t="inlineStr">
        <is>
          <t>NORBERG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46309</v>
      </c>
      <c r="F116" t="inlineStr">
        <is>
          <t>VÄSTMANLANDS LÄN</t>
        </is>
      </c>
      <c r="G116" t="inlineStr">
        <is>
          <t>NORBERG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46146</v>
      </c>
      <c r="E117" s="1" t="n">
        <v>46309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46148</v>
      </c>
      <c r="E118" s="1" t="n">
        <v>46309</v>
      </c>
      <c r="F118" t="inlineStr">
        <is>
          <t>VÄSTMANLANDS LÄN</t>
        </is>
      </c>
      <c r="G118" t="inlineStr">
        <is>
          <t>NORBERG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46148</v>
      </c>
      <c r="E119" s="1" t="n">
        <v>46309</v>
      </c>
      <c r="F119" t="inlineStr">
        <is>
          <t>VÄSTMANLANDS LÄN</t>
        </is>
      </c>
      <c r="G119" t="inlineStr">
        <is>
          <t>NORBERG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46149</v>
      </c>
      <c r="E120" s="1" t="n">
        <v>46309</v>
      </c>
      <c r="F120" t="inlineStr">
        <is>
          <t>VÄSTMANLANDS LÄN</t>
        </is>
      </c>
      <c r="G120" t="inlineStr">
        <is>
          <t>NORBERG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46309</v>
      </c>
      <c r="F121" t="inlineStr">
        <is>
          <t>VÄSTMANLANDS LÄN</t>
        </is>
      </c>
      <c r="G121" t="inlineStr">
        <is>
          <t>NORBERG</t>
        </is>
      </c>
      <c r="H121" t="inlineStr">
        <is>
          <t>Bergvik skog väst AB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48396-2023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45205</v>
      </c>
      <c r="E122" s="1" t="n">
        <v>46309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32524-2023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45121</v>
      </c>
      <c r="E123" s="1" t="n">
        <v>46309</v>
      </c>
      <c r="F123" t="inlineStr">
        <is>
          <t>VÄSTMANLANDS LÄN</t>
        </is>
      </c>
      <c r="G123" t="inlineStr">
        <is>
          <t>NORBERG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46309</v>
      </c>
      <c r="F124" t="inlineStr">
        <is>
          <t>VÄSTMANLANDS LÄN</t>
        </is>
      </c>
      <c r="G124" t="inlineStr">
        <is>
          <t>NORBERG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56400-2025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45974</v>
      </c>
      <c r="E125" s="1" t="n">
        <v>46309</v>
      </c>
      <c r="F125" t="inlineStr">
        <is>
          <t>VÄSTMANLANDS LÄN</t>
        </is>
      </c>
      <c r="G125" t="inlineStr">
        <is>
          <t>NORBERG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46309</v>
      </c>
      <c r="F126" t="inlineStr">
        <is>
          <t>VÄSTMANLANDS LÄN</t>
        </is>
      </c>
      <c r="G126" t="inlineStr">
        <is>
          <t>NORBERG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46309</v>
      </c>
      <c r="F127" t="inlineStr">
        <is>
          <t>VÄSTMANLANDS LÄN</t>
        </is>
      </c>
      <c r="G127" t="inlineStr">
        <is>
          <t>NORBERG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54306-2023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46309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46309</v>
      </c>
      <c r="F129" t="inlineStr">
        <is>
          <t>VÄSTMANLANDS LÄN</t>
        </is>
      </c>
      <c r="G129" t="inlineStr">
        <is>
          <t>NORBERG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46309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46176</v>
      </c>
      <c r="E131" s="1" t="n">
        <v>46309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46309</v>
      </c>
      <c r="F132" t="inlineStr">
        <is>
          <t>VÄSTMANLANDS LÄN</t>
        </is>
      </c>
      <c r="G132" t="inlineStr">
        <is>
          <t>NORBERG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46309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46309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46309</v>
      </c>
      <c r="F135" t="inlineStr">
        <is>
          <t>VÄSTMANLANDS LÄN</t>
        </is>
      </c>
      <c r="G135" t="inlineStr">
        <is>
          <t>NORBERG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46309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46309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46309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46309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46309</v>
      </c>
      <c r="F140" t="inlineStr">
        <is>
          <t>VÄSTMANLANDS LÄN</t>
        </is>
      </c>
      <c r="G140" t="inlineStr">
        <is>
          <t>NORBERG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45049</v>
      </c>
      <c r="E141" s="1" t="n">
        <v>46309</v>
      </c>
      <c r="F141" t="inlineStr">
        <is>
          <t>VÄSTMANLANDS LÄN</t>
        </is>
      </c>
      <c r="G141" t="inlineStr">
        <is>
          <t>NORBERG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46309</v>
      </c>
      <c r="F142" t="inlineStr">
        <is>
          <t>VÄSTMANLANDS LÄN</t>
        </is>
      </c>
      <c r="G142" t="inlineStr">
        <is>
          <t>NORBERG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21976-2026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46153</v>
      </c>
      <c r="E143" s="1" t="n">
        <v>46309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63505-2023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45274</v>
      </c>
      <c r="E144" s="1" t="n">
        <v>46309</v>
      </c>
      <c r="F144" t="inlineStr">
        <is>
          <t>VÄSTMANLANDS LÄN</t>
        </is>
      </c>
      <c r="G144" t="inlineStr">
        <is>
          <t>NORBERG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46309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46309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46309</v>
      </c>
      <c r="F147" t="inlineStr">
        <is>
          <t>VÄSTMANLANDS LÄN</t>
        </is>
      </c>
      <c r="G147" t="inlineStr">
        <is>
          <t>NORBERG</t>
        </is>
      </c>
      <c r="I147" t="n">
        <v>22.4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46309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45200</v>
      </c>
      <c r="E149" s="1" t="n">
        <v>46309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46223</v>
      </c>
      <c r="E150" s="1" t="n">
        <v>46309</v>
      </c>
      <c r="F150" t="inlineStr">
        <is>
          <t>VÄSTMANLANDS LÄN</t>
        </is>
      </c>
      <c r="G150" t="inlineStr">
        <is>
          <t>NORBERG</t>
        </is>
      </c>
      <c r="I150" t="n">
        <v>9.800000000000001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46309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46268</v>
      </c>
      <c r="E152" s="1" t="n">
        <v>46309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45560</v>
      </c>
      <c r="E153" s="1" t="n">
        <v>46309</v>
      </c>
      <c r="F153" t="inlineStr">
        <is>
          <t>VÄSTMANLANDS LÄN</t>
        </is>
      </c>
      <c r="G153" t="inlineStr">
        <is>
          <t>NORBERG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46309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46309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46232</v>
      </c>
      <c r="E156" s="1" t="n">
        <v>46309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46232</v>
      </c>
      <c r="E157" s="1" t="n">
        <v>46309</v>
      </c>
      <c r="F157" t="inlineStr">
        <is>
          <t>VÄSTMANLANDS LÄN</t>
        </is>
      </c>
      <c r="G157" t="inlineStr">
        <is>
          <t>NORBERG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45056</v>
      </c>
      <c r="E158" s="1" t="n">
        <v>46309</v>
      </c>
      <c r="F158" t="inlineStr">
        <is>
          <t>VÄSTMANLANDS LÄN</t>
        </is>
      </c>
      <c r="G158" t="inlineStr">
        <is>
          <t>NORBERG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46309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46233</v>
      </c>
      <c r="E160" s="1" t="n">
        <v>46309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46309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32385-2026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46238</v>
      </c>
      <c r="E162" s="1" t="n">
        <v>46309</v>
      </c>
      <c r="F162" t="inlineStr">
        <is>
          <t>VÄSTMANLANDS LÄN</t>
        </is>
      </c>
      <c r="G162" t="inlineStr">
        <is>
          <t>NORBERG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47753-2024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46309</v>
      </c>
      <c r="F163" t="inlineStr">
        <is>
          <t>VÄSTMANLANDS LÄN</t>
        </is>
      </c>
      <c r="G163" t="inlineStr">
        <is>
          <t>NORBERG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45179</v>
      </c>
      <c r="E164" s="1" t="n">
        <v>46309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51790-2024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45607</v>
      </c>
      <c r="E165" s="1" t="n">
        <v>46309</v>
      </c>
      <c r="F165" t="inlineStr">
        <is>
          <t>VÄSTMANLANDS LÄN</t>
        </is>
      </c>
      <c r="G165" t="inlineStr">
        <is>
          <t>NORBERG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46309</v>
      </c>
      <c r="F166" t="inlineStr">
        <is>
          <t>VÄSTMANLANDS LÄN</t>
        </is>
      </c>
      <c r="G166" t="inlineStr">
        <is>
          <t>NORBERG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19377-2025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45769</v>
      </c>
      <c r="E167" s="1" t="n">
        <v>46309</v>
      </c>
      <c r="F167" t="inlineStr">
        <is>
          <t>VÄSTMANLANDS LÄN</t>
        </is>
      </c>
      <c r="G167" t="inlineStr">
        <is>
          <t>NORBERG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45586</v>
      </c>
      <c r="E168" s="1" t="n">
        <v>46309</v>
      </c>
      <c r="F168" t="inlineStr">
        <is>
          <t>VÄSTMANLANDS LÄN</t>
        </is>
      </c>
      <c r="G168" t="inlineStr">
        <is>
          <t>NORBERG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46247</v>
      </c>
      <c r="E169" s="1" t="n">
        <v>46309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45316</v>
      </c>
      <c r="E170" s="1" t="n">
        <v>46309</v>
      </c>
      <c r="F170" t="inlineStr">
        <is>
          <t>VÄSTMANLANDS LÄN</t>
        </is>
      </c>
      <c r="G170" t="inlineStr">
        <is>
          <t>NORBERG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46309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46309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44691</v>
      </c>
      <c r="E173" s="1" t="n">
        <v>46309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45729</v>
      </c>
      <c r="E174" s="1" t="n">
        <v>46309</v>
      </c>
      <c r="F174" t="inlineStr">
        <is>
          <t>VÄSTMANLANDS LÄN</t>
        </is>
      </c>
      <c r="G174" t="inlineStr">
        <is>
          <t>NORBERG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46309</v>
      </c>
      <c r="F175" t="inlineStr">
        <is>
          <t>VÄSTMANLANDS LÄN</t>
        </is>
      </c>
      <c r="G175" t="inlineStr">
        <is>
          <t>NORBERG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45034</v>
      </c>
      <c r="E176" s="1" t="n">
        <v>46309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46309</v>
      </c>
      <c r="F177" t="inlineStr">
        <is>
          <t>VÄSTMANLANDS LÄN</t>
        </is>
      </c>
      <c r="G177" t="inlineStr">
        <is>
          <t>NORBERG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46253</v>
      </c>
      <c r="E178" s="1" t="n">
        <v>46309</v>
      </c>
      <c r="F178" t="inlineStr">
        <is>
          <t>VÄSTMANLANDS LÄN</t>
        </is>
      </c>
      <c r="G178" t="inlineStr">
        <is>
          <t>NORBERG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46309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46309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13465-2026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46093</v>
      </c>
      <c r="E181" s="1" t="n">
        <v>46309</v>
      </c>
      <c r="F181" t="inlineStr">
        <is>
          <t>VÄSTMANLANDS LÄN</t>
        </is>
      </c>
      <c r="G181" t="inlineStr">
        <is>
          <t>NORBERG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46309</v>
      </c>
      <c r="F182" t="inlineStr">
        <is>
          <t>VÄSTMANLANDS LÄN</t>
        </is>
      </c>
      <c r="G182" t="inlineStr">
        <is>
          <t>NORBERG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45454</v>
      </c>
      <c r="E183" s="1" t="n">
        <v>46309</v>
      </c>
      <c r="F183" t="inlineStr">
        <is>
          <t>VÄSTMANLANDS LÄN</t>
        </is>
      </c>
      <c r="G183" t="inlineStr">
        <is>
          <t>NORBERG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46309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46303</v>
      </c>
      <c r="E185" s="1" t="n">
        <v>46309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46303</v>
      </c>
      <c r="E186" s="1" t="n">
        <v>46309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46303</v>
      </c>
      <c r="E187" s="1" t="n">
        <v>46309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46309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46309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13471-2026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46093</v>
      </c>
      <c r="E190" s="1" t="n">
        <v>46309</v>
      </c>
      <c r="F190" t="inlineStr">
        <is>
          <t>VÄSTMANLANDS LÄN</t>
        </is>
      </c>
      <c r="G190" t="inlineStr">
        <is>
          <t>NORBERG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35731-2026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46309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45454</v>
      </c>
      <c r="E192" s="1" t="n">
        <v>46309</v>
      </c>
      <c r="F192" t="inlineStr">
        <is>
          <t>VÄSTMANLANDS LÄN</t>
        </is>
      </c>
      <c r="G192" t="inlineStr">
        <is>
          <t>NORBERG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46309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46309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46309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2026-10-14T02:00:51Z</dcterms:created>
  <dcterms:modified xmlns:dcterms="http://purl.org/dc/terms/" xmlns:xsi="http://www.w3.org/2001/XMLSchema-instance" xsi:type="dcterms:W3CDTF">2026-10-14T02:00:51Z</dcterms:modified>
</cp:coreProperties>
</file>