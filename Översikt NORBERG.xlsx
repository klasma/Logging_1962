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46250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46250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46250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46250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46250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HYPERLINK("https://klasma.github.io/Logging_1962/artfynd/A 38017-2025 artfynd.xlsx", "A 38017-2025")</f>
        <v/>
      </c>
      <c r="X10">
        <f>HYPERLINK("https://klasma.github.io/Logging_1962/kartor/A 38017-2025 karta.png", "A 38017-2025")</f>
        <v/>
      </c>
      <c r="Y10">
        <f>HYPERLINK("https://klasma.github.io/Logging_1962/kartor_geotiff/A 38017-2025 georefererad karta.tif", "A 38017-2025")</f>
        <v/>
      </c>
      <c r="AA10">
        <f>HYPERLINK("https://klasma.github.io/Logging_1962/klagomål/A 38017-2025 FSC-klagomål.docx", "A 38017-2025")</f>
        <v/>
      </c>
      <c r="AB10">
        <f>HYPERLINK("https://klasma.github.io/Logging_1962/klagomålsmail/A 38017-2025 FSC-klagomål mail.docx", "A 38017-2025")</f>
        <v/>
      </c>
      <c r="AC10">
        <f>HYPERLINK("https://klasma.github.io/Logging_1962/tillsyn/A 38017-2025 tillsynsbegäran.docx", "A 38017-2025")</f>
        <v/>
      </c>
      <c r="AD10">
        <f>HYPERLINK("https://klasma.github.io/Logging_1962/tillsynsmail/A 38017-2025 tillsynsbegäran mail.docx", "A 38017-2025")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46250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52063-2022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46250</v>
      </c>
      <c r="F12" t="inlineStr">
        <is>
          <t>VÄSTMANLANDS LÄN</t>
        </is>
      </c>
      <c r="G12" t="inlineStr">
        <is>
          <t>NORBERG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52063-2022 artfynd.xlsx", "A 52063-2022")</f>
        <v/>
      </c>
      <c r="X12">
        <f>HYPERLINK("https://klasma.github.io/Logging_1962/kartor/A 52063-2022 karta.png", "A 52063-2022")</f>
        <v/>
      </c>
      <c r="Y12">
        <f>HYPERLINK("https://klasma.github.io/Logging_1962/kartor_geotiff/A 52063-2022 georefererad karta.tif", "A 52063-2022")</f>
        <v/>
      </c>
      <c r="AA12">
        <f>HYPERLINK("https://klasma.github.io/Logging_1962/klagomål/A 52063-2022 FSC-klagomål.docx", "A 52063-2022")</f>
        <v/>
      </c>
      <c r="AB12">
        <f>HYPERLINK("https://klasma.github.io/Logging_1962/klagomålsmail/A 52063-2022 FSC-klagomål mail.docx", "A 52063-2022")</f>
        <v/>
      </c>
      <c r="AC12">
        <f>HYPERLINK("https://klasma.github.io/Logging_1962/tillsyn/A 52063-2022 tillsynsbegäran.docx", "A 52063-2022")</f>
        <v/>
      </c>
      <c r="AD12">
        <f>HYPERLINK("https://klasma.github.io/Logging_1962/tillsynsmail/A 52063-2022 tillsynsbegäran mail.docx", "A 52063-2022")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46250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46250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46250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46250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46250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46250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46250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46250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46250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46250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46250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46250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46250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46250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46250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46250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46250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46250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46250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46250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46250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46250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46250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46250</v>
      </c>
      <c r="F39" t="inlineStr">
        <is>
          <t>VÄSTMANLANDS LÄN</t>
        </is>
      </c>
      <c r="G39" t="inlineStr">
        <is>
          <t>NORBERG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46250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45474</v>
      </c>
      <c r="E41" s="1" t="n">
        <v>46250</v>
      </c>
      <c r="F41" t="inlineStr">
        <is>
          <t>VÄSTMANLANDS LÄN</t>
        </is>
      </c>
      <c r="G41" t="inlineStr">
        <is>
          <t>NORBERG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45420</v>
      </c>
      <c r="E42" s="1" t="n">
        <v>46250</v>
      </c>
      <c r="F42" t="inlineStr">
        <is>
          <t>VÄSTMANLANDS LÄN</t>
        </is>
      </c>
      <c r="G42" t="inlineStr">
        <is>
          <t>NORBERG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46250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45882</v>
      </c>
      <c r="E44" s="1" t="n">
        <v>46250</v>
      </c>
      <c r="F44" t="inlineStr">
        <is>
          <t>VÄSTMANLANDS LÄN</t>
        </is>
      </c>
      <c r="G44" t="inlineStr">
        <is>
          <t>NORBERG</t>
        </is>
      </c>
      <c r="H44" t="inlineStr">
        <is>
          <t>Övriga Aktiebolag</t>
        </is>
      </c>
      <c r="I44" t="n">
        <v>15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45882</v>
      </c>
      <c r="E45" s="1" t="n">
        <v>46250</v>
      </c>
      <c r="F45" t="inlineStr">
        <is>
          <t>VÄSTMANLANDS LÄN</t>
        </is>
      </c>
      <c r="G45" t="inlineStr">
        <is>
          <t>NORBERG</t>
        </is>
      </c>
      <c r="H45" t="inlineStr">
        <is>
          <t>Övriga Aktiebolag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46250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46250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46250</v>
      </c>
      <c r="F48" t="inlineStr">
        <is>
          <t>VÄSTMANLANDS LÄN</t>
        </is>
      </c>
      <c r="G48" t="inlineStr">
        <is>
          <t>NORBERG</t>
        </is>
      </c>
      <c r="H48" t="inlineStr">
        <is>
          <t>Övriga Aktiebolag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45679</v>
      </c>
      <c r="E49" s="1" t="n">
        <v>46250</v>
      </c>
      <c r="F49" t="inlineStr">
        <is>
          <t>VÄSTMANLANDS LÄN</t>
        </is>
      </c>
      <c r="G49" t="inlineStr">
        <is>
          <t>NORBERG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46250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46250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46250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46250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44860</v>
      </c>
      <c r="E54" s="1" t="n">
        <v>46250</v>
      </c>
      <c r="F54" t="inlineStr">
        <is>
          <t>VÄSTMANLANDS LÄN</t>
        </is>
      </c>
      <c r="G54" t="inlineStr">
        <is>
          <t>NORBERG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46250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46250</v>
      </c>
      <c r="F56" t="inlineStr">
        <is>
          <t>VÄSTMANLANDS LÄN</t>
        </is>
      </c>
      <c r="G56" t="inlineStr">
        <is>
          <t>NORBERG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46250</v>
      </c>
      <c r="F57" t="inlineStr">
        <is>
          <t>VÄSTMANLANDS LÄN</t>
        </is>
      </c>
      <c r="G57" t="inlineStr">
        <is>
          <t>NORBERG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46250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20378-2023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45056</v>
      </c>
      <c r="E59" s="1" t="n">
        <v>46250</v>
      </c>
      <c r="F59" t="inlineStr">
        <is>
          <t>VÄSTMANLANDS LÄN</t>
        </is>
      </c>
      <c r="G59" t="inlineStr">
        <is>
          <t>NORBERG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46250</v>
      </c>
      <c r="F60" t="inlineStr">
        <is>
          <t>VÄSTMANLANDS LÄN</t>
        </is>
      </c>
      <c r="G60" t="inlineStr">
        <is>
          <t>NORBERG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46250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46250</v>
      </c>
      <c r="F62" t="inlineStr">
        <is>
          <t>VÄSTMANLANDS LÄN</t>
        </is>
      </c>
      <c r="G62" t="inlineStr">
        <is>
          <t>NORBERG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45049</v>
      </c>
      <c r="E63" s="1" t="n">
        <v>46250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46250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46250</v>
      </c>
      <c r="F65" t="inlineStr">
        <is>
          <t>VÄSTMANLANDS LÄN</t>
        </is>
      </c>
      <c r="G65" t="inlineStr">
        <is>
          <t>NORBERG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46250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46250</v>
      </c>
      <c r="F67" t="inlineStr">
        <is>
          <t>VÄSTMANLANDS LÄN</t>
        </is>
      </c>
      <c r="G67" t="inlineStr">
        <is>
          <t>NORBERG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46250</v>
      </c>
      <c r="F68" t="inlineStr">
        <is>
          <t>VÄSTMANLANDS LÄN</t>
        </is>
      </c>
      <c r="G68" t="inlineStr">
        <is>
          <t>NORBERG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46099</v>
      </c>
      <c r="E69" s="1" t="n">
        <v>46250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46250</v>
      </c>
      <c r="F70" t="inlineStr">
        <is>
          <t>VÄSTMANLANDS LÄN</t>
        </is>
      </c>
      <c r="G70" t="inlineStr">
        <is>
          <t>NORBERG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46250</v>
      </c>
      <c r="F71" t="inlineStr">
        <is>
          <t>VÄSTMANLANDS LÄN</t>
        </is>
      </c>
      <c r="G71" t="inlineStr">
        <is>
          <t>NORBERG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46250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46250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46250</v>
      </c>
      <c r="F74" t="inlineStr">
        <is>
          <t>VÄSTMANLANDS LÄN</t>
        </is>
      </c>
      <c r="G74" t="inlineStr">
        <is>
          <t>NORBERG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46250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63505-2023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45274</v>
      </c>
      <c r="E76" s="1" t="n">
        <v>46250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46250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46250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46250</v>
      </c>
      <c r="F79" t="inlineStr">
        <is>
          <t>VÄSTMANLANDS LÄN</t>
        </is>
      </c>
      <c r="G79" t="inlineStr">
        <is>
          <t>NORBERG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46250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46250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46111</v>
      </c>
      <c r="E82" s="1" t="n">
        <v>46250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46113</v>
      </c>
      <c r="E83" s="1" t="n">
        <v>46250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46250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45001</v>
      </c>
      <c r="E85" s="1" t="n">
        <v>46250</v>
      </c>
      <c r="F85" t="inlineStr">
        <is>
          <t>VÄSTMANLANDS LÄN</t>
        </is>
      </c>
      <c r="G85" t="inlineStr">
        <is>
          <t>NORBERG</t>
        </is>
      </c>
      <c r="I85" t="n">
        <v>22.4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46250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46250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45613</v>
      </c>
      <c r="E88" s="1" t="n">
        <v>46250</v>
      </c>
      <c r="F88" t="inlineStr">
        <is>
          <t>VÄSTMANLANDS LÄN</t>
        </is>
      </c>
      <c r="G88" t="inlineStr">
        <is>
          <t>NORBERG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46250</v>
      </c>
      <c r="F89" t="inlineStr">
        <is>
          <t>VÄSTMANLANDS LÄN</t>
        </is>
      </c>
      <c r="G89" t="inlineStr">
        <is>
          <t>NORBERG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46250</v>
      </c>
      <c r="F90" t="inlineStr">
        <is>
          <t>VÄSTMANLANDS LÄN</t>
        </is>
      </c>
      <c r="G90" t="inlineStr">
        <is>
          <t>NORBERG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46250</v>
      </c>
      <c r="F91" t="inlineStr">
        <is>
          <t>VÄSTMANLANDS LÄN</t>
        </is>
      </c>
      <c r="G91" t="inlineStr">
        <is>
          <t>NORBERG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46250</v>
      </c>
      <c r="F92" t="inlineStr">
        <is>
          <t>VÄSTMANLANDS LÄN</t>
        </is>
      </c>
      <c r="G92" t="inlineStr">
        <is>
          <t>NORBERG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46250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46250</v>
      </c>
      <c r="F94" t="inlineStr">
        <is>
          <t>VÄSTMANLANDS LÄN</t>
        </is>
      </c>
      <c r="G94" t="inlineStr">
        <is>
          <t>NORBERG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46250</v>
      </c>
      <c r="F95" t="inlineStr">
        <is>
          <t>VÄSTMANLANDS LÄN</t>
        </is>
      </c>
      <c r="G95" t="inlineStr">
        <is>
          <t>NORBERG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46250</v>
      </c>
      <c r="F96" t="inlineStr">
        <is>
          <t>VÄSTMANLANDS LÄN</t>
        </is>
      </c>
      <c r="G96" t="inlineStr">
        <is>
          <t>NORBERG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46250</v>
      </c>
      <c r="F97" t="inlineStr">
        <is>
          <t>VÄSTMANLANDS LÄN</t>
        </is>
      </c>
      <c r="G97" t="inlineStr">
        <is>
          <t>NORBERG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46250</v>
      </c>
      <c r="F98" t="inlineStr">
        <is>
          <t>VÄSTMANLANDS LÄN</t>
        </is>
      </c>
      <c r="G98" t="inlineStr">
        <is>
          <t>NORBERG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46250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46250</v>
      </c>
      <c r="F100" t="inlineStr">
        <is>
          <t>VÄSTMANLANDS LÄN</t>
        </is>
      </c>
      <c r="G100" t="inlineStr">
        <is>
          <t>NORBERG</t>
        </is>
      </c>
      <c r="I100" t="n">
        <v>22.8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46250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46250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46250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46250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46250</v>
      </c>
      <c r="F105" t="inlineStr">
        <is>
          <t>VÄSTMANLANDS LÄN</t>
        </is>
      </c>
      <c r="G105" t="inlineStr">
        <is>
          <t>NORBERG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73797-2021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46250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46250</v>
      </c>
      <c r="F107" t="inlineStr">
        <is>
          <t>VÄSTMANLANDS LÄN</t>
        </is>
      </c>
      <c r="G107" t="inlineStr">
        <is>
          <t>NORBERG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56940-2021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44480</v>
      </c>
      <c r="E108" s="1" t="n">
        <v>46250</v>
      </c>
      <c r="F108" t="inlineStr">
        <is>
          <t>VÄSTMANLANDS LÄN</t>
        </is>
      </c>
      <c r="G108" t="inlineStr">
        <is>
          <t>NORBERG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46019</v>
      </c>
      <c r="E109" s="1" t="n">
        <v>46250</v>
      </c>
      <c r="F109" t="inlineStr">
        <is>
          <t>VÄSTMANLANDS LÄN</t>
        </is>
      </c>
      <c r="G109" t="inlineStr">
        <is>
          <t>NORBERG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46250</v>
      </c>
      <c r="F110" t="inlineStr">
        <is>
          <t>VÄSTMANLANDS LÄN</t>
        </is>
      </c>
      <c r="G110" t="inlineStr">
        <is>
          <t>NORBERG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46250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46250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46250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46250</v>
      </c>
      <c r="F114" t="inlineStr">
        <is>
          <t>VÄSTMANLANDS LÄN</t>
        </is>
      </c>
      <c r="G114" t="inlineStr">
        <is>
          <t>NORBERG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45200</v>
      </c>
      <c r="E115" s="1" t="n">
        <v>46250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45233</v>
      </c>
      <c r="E116" s="1" t="n">
        <v>46250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46250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46250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46250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46250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46250</v>
      </c>
      <c r="F121" t="inlineStr">
        <is>
          <t>VÄSTMANLANDS LÄN</t>
        </is>
      </c>
      <c r="G121" t="inlineStr">
        <is>
          <t>NORBERG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46250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46250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60339-2025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45994</v>
      </c>
      <c r="E124" s="1" t="n">
        <v>46250</v>
      </c>
      <c r="F124" t="inlineStr">
        <is>
          <t>VÄSTMANLANDS LÄN</t>
        </is>
      </c>
      <c r="G124" t="inlineStr">
        <is>
          <t>NORBERG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46250</v>
      </c>
      <c r="F125" t="inlineStr">
        <is>
          <t>VÄSTMANLANDS LÄN</t>
        </is>
      </c>
      <c r="G125" t="inlineStr">
        <is>
          <t>NORBERG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45179</v>
      </c>
      <c r="E126" s="1" t="n">
        <v>46250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45607</v>
      </c>
      <c r="E127" s="1" t="n">
        <v>46250</v>
      </c>
      <c r="F127" t="inlineStr">
        <is>
          <t>VÄSTMANLANDS LÄN</t>
        </is>
      </c>
      <c r="G127" t="inlineStr">
        <is>
          <t>NORBERG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46250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20968-2026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46142</v>
      </c>
      <c r="E129" s="1" t="n">
        <v>46250</v>
      </c>
      <c r="F129" t="inlineStr">
        <is>
          <t>VÄSTMANLANDS LÄN</t>
        </is>
      </c>
      <c r="G129" t="inlineStr">
        <is>
          <t>NORBERG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46250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46250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46250</v>
      </c>
      <c r="F132" t="inlineStr">
        <is>
          <t>VÄSTMANLANDS LÄN</t>
        </is>
      </c>
      <c r="G132" t="inlineStr">
        <is>
          <t>NORBERG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46250</v>
      </c>
      <c r="F133" t="inlineStr">
        <is>
          <t>VÄSTMANLANDS LÄN</t>
        </is>
      </c>
      <c r="G133" t="inlineStr">
        <is>
          <t>NORBERG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46250</v>
      </c>
      <c r="F134" t="inlineStr">
        <is>
          <t>VÄSTMANLANDS LÄN</t>
        </is>
      </c>
      <c r="G134" t="inlineStr">
        <is>
          <t>NORBERG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46250</v>
      </c>
      <c r="F135" t="inlineStr">
        <is>
          <t>VÄSTMANLANDS LÄN</t>
        </is>
      </c>
      <c r="G135" t="inlineStr">
        <is>
          <t>NORBERG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46250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46250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46250</v>
      </c>
      <c r="F138" t="inlineStr">
        <is>
          <t>VÄSTMANLANDS LÄN</t>
        </is>
      </c>
      <c r="G138" t="inlineStr">
        <is>
          <t>NORBERG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46250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46250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46250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44852</v>
      </c>
      <c r="E142" s="1" t="n">
        <v>46250</v>
      </c>
      <c r="F142" t="inlineStr">
        <is>
          <t>VÄSTMANLANDS LÄN</t>
        </is>
      </c>
      <c r="G142" t="inlineStr">
        <is>
          <t>NORBERG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46250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46250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46250</v>
      </c>
      <c r="F145" t="inlineStr">
        <is>
          <t>VÄSTMANLANDS LÄN</t>
        </is>
      </c>
      <c r="G145" t="inlineStr">
        <is>
          <t>NORBERG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46250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46250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46250</v>
      </c>
      <c r="F148" t="inlineStr">
        <is>
          <t>VÄSTMANLANDS LÄN</t>
        </is>
      </c>
      <c r="G148" t="inlineStr">
        <is>
          <t>NORBERG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46250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46250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46250</v>
      </c>
      <c r="F151" t="inlineStr">
        <is>
          <t>VÄSTMANLANDS LÄN</t>
        </is>
      </c>
      <c r="G151" t="inlineStr">
        <is>
          <t>NORBERG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56400-2025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45974</v>
      </c>
      <c r="E152" s="1" t="n">
        <v>46250</v>
      </c>
      <c r="F152" t="inlineStr">
        <is>
          <t>VÄSTMANLANDS LÄN</t>
        </is>
      </c>
      <c r="G152" t="inlineStr">
        <is>
          <t>NORBERG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46250</v>
      </c>
      <c r="F153" t="inlineStr">
        <is>
          <t>VÄSTMANLANDS LÄN</t>
        </is>
      </c>
      <c r="G153" t="inlineStr">
        <is>
          <t>NORBERG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46250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46250</v>
      </c>
      <c r="F155" t="inlineStr">
        <is>
          <t>VÄSTMANLANDS LÄN</t>
        </is>
      </c>
      <c r="G155" t="inlineStr">
        <is>
          <t>NORBERG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46250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46250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46250</v>
      </c>
      <c r="F158" t="inlineStr">
        <is>
          <t>VÄSTMANLANDS LÄN</t>
        </is>
      </c>
      <c r="G158" t="inlineStr">
        <is>
          <t>NORBERG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45028</v>
      </c>
      <c r="E159" s="1" t="n">
        <v>46250</v>
      </c>
      <c r="F159" t="inlineStr">
        <is>
          <t>VÄSTMANLANDS LÄN</t>
        </is>
      </c>
      <c r="G159" t="inlineStr">
        <is>
          <t>NORBERG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45792</v>
      </c>
      <c r="E160" s="1" t="n">
        <v>46250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46250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46250</v>
      </c>
      <c r="F162" t="inlineStr">
        <is>
          <t>VÄSTMANLANDS LÄN</t>
        </is>
      </c>
      <c r="G162" t="inlineStr">
        <is>
          <t>NORBERG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46250</v>
      </c>
      <c r="F163" t="inlineStr">
        <is>
          <t>VÄSTMANLANDS LÄN</t>
        </is>
      </c>
      <c r="G163" t="inlineStr">
        <is>
          <t>NORBERG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46250</v>
      </c>
      <c r="F164" t="inlineStr">
        <is>
          <t>VÄSTMANLANDS LÄN</t>
        </is>
      </c>
      <c r="G164" t="inlineStr">
        <is>
          <t>NORBERG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46250</v>
      </c>
      <c r="F165" t="inlineStr">
        <is>
          <t>VÄSTMANLANDS LÄN</t>
        </is>
      </c>
      <c r="G165" t="inlineStr">
        <is>
          <t>NORBERG</t>
        </is>
      </c>
      <c r="H165" t="inlineStr">
        <is>
          <t>Övriga Aktiebolag</t>
        </is>
      </c>
      <c r="I165" t="n">
        <v>9.300000000000001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46250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46250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46250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45121</v>
      </c>
      <c r="E169" s="1" t="n">
        <v>46250</v>
      </c>
      <c r="F169" t="inlineStr">
        <is>
          <t>VÄSTMANLANDS LÄN</t>
        </is>
      </c>
      <c r="G169" t="inlineStr">
        <is>
          <t>NORBERG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46250</v>
      </c>
      <c r="F170" t="inlineStr">
        <is>
          <t>VÄSTMANLANDS LÄN</t>
        </is>
      </c>
      <c r="G170" t="inlineStr">
        <is>
          <t>NORBERG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46250</v>
      </c>
      <c r="F171" t="inlineStr">
        <is>
          <t>VÄSTMANLANDS LÄN</t>
        </is>
      </c>
      <c r="G171" t="inlineStr">
        <is>
          <t>NORBERG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46250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46250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46250</v>
      </c>
      <c r="F174" t="inlineStr">
        <is>
          <t>VÄSTMANLANDS LÄN</t>
        </is>
      </c>
      <c r="G174" t="inlineStr">
        <is>
          <t>NORBERG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46250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46250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46250</v>
      </c>
      <c r="F177" t="inlineStr">
        <is>
          <t>VÄSTMANLANDS LÄN</t>
        </is>
      </c>
      <c r="G177" t="inlineStr">
        <is>
          <t>NORBERG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46250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46233</v>
      </c>
      <c r="E179" s="1" t="n">
        <v>46250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46250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46250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46250</v>
      </c>
      <c r="F182" t="inlineStr">
        <is>
          <t>VÄSTMANLANDS LÄN</t>
        </is>
      </c>
      <c r="G182" t="inlineStr">
        <is>
          <t>NORBERG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46238</v>
      </c>
      <c r="E183" s="1" t="n">
        <v>46250</v>
      </c>
      <c r="F183" t="inlineStr">
        <is>
          <t>VÄSTMANLANDS LÄN</t>
        </is>
      </c>
      <c r="G183" t="inlineStr">
        <is>
          <t>NORBERG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45408</v>
      </c>
      <c r="E184" s="1" t="n">
        <v>46250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46250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46250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46250</v>
      </c>
      <c r="F187" t="inlineStr">
        <is>
          <t>VÄSTMANLANDS LÄN</t>
        </is>
      </c>
      <c r="G187" t="inlineStr">
        <is>
          <t>NORBERG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46250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46250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46250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46250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46250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2026-08-16T01:42:28Z</dcterms:created>
  <dcterms:modified xmlns:dcterms="http://purl.org/dc/terms/" xmlns:xsi="http://www.w3.org/2001/XMLSchema-instance" xsi:type="dcterms:W3CDTF">2026-08-16T01:42:28Z</dcterms:modified>
</cp:coreProperties>
</file>