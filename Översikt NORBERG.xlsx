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46326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46326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46326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46326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46326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46326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46326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46326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46326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46326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46326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46326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46326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44015-2022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46326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44015-2022 artfynd.xlsx", "A 44015-2022")</f>
        <v/>
      </c>
      <c r="X15">
        <f>HYPERLINK("https://klasma.github.io/Logging_1962/kartor/A 44015-2022 karta.png", "A 44015-2022")</f>
        <v/>
      </c>
      <c r="Y15">
        <f>HYPERLINK("https://klasma.github.io/Logging_1962/kartor_geotiff/A 44015-2022 georefererad karta.tif", "A 44015-2022")</f>
        <v/>
      </c>
      <c r="AA15">
        <f>HYPERLINK("https://klasma.github.io/Logging_1962/klagomål/A 44015-2022 FSC-klagomål.docx", "A 44015-2022")</f>
        <v/>
      </c>
      <c r="AB15">
        <f>HYPERLINK("https://klasma.github.io/Logging_1962/klagomålsmail/A 44015-2022 FSC-klagomål mail.docx", "A 44015-2022")</f>
        <v/>
      </c>
      <c r="AC15">
        <f>HYPERLINK("https://klasma.github.io/Logging_1962/tillsyn/A 44015-2022 tillsynsbegäran.docx", "A 44015-2022")</f>
        <v/>
      </c>
      <c r="AD15">
        <f>HYPERLINK("https://klasma.github.io/Logging_1962/tillsynsmail/A 44015-2022 tillsynsbegäran mail.docx", "A 44015-2022")</f>
        <v/>
      </c>
    </row>
    <row r="16" ht="15" customHeight="1">
      <c r="A16" t="inlineStr">
        <is>
          <t>A 20257-2025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45773</v>
      </c>
      <c r="E16" s="1" t="n">
        <v>46326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20257-2025 artfynd.xlsx", "A 20257-2025")</f>
        <v/>
      </c>
      <c r="X16">
        <f>HYPERLINK("https://klasma.github.io/Logging_1962/kartor/A 20257-2025 karta.png", "A 20257-2025")</f>
        <v/>
      </c>
      <c r="Y16">
        <f>HYPERLINK("https://klasma.github.io/Logging_1962/kartor_geotiff/A 20257-2025 georefererad karta.tif", "A 20257-2025")</f>
        <v/>
      </c>
      <c r="AA16">
        <f>HYPERLINK("https://klasma.github.io/Logging_1962/klagomål/A 20257-2025 FSC-klagomål.docx", "A 20257-2025")</f>
        <v/>
      </c>
      <c r="AB16">
        <f>HYPERLINK("https://klasma.github.io/Logging_1962/klagomålsmail/A 20257-2025 FSC-klagomål mail.docx", "A 20257-2025")</f>
        <v/>
      </c>
      <c r="AC16">
        <f>HYPERLINK("https://klasma.github.io/Logging_1962/tillsyn/A 20257-2025 tillsynsbegäran.docx", "A 20257-2025")</f>
        <v/>
      </c>
      <c r="AD16">
        <f>HYPERLINK("https://klasma.github.io/Logging_1962/tillsynsmail/A 20257-2025 tillsynsbegäran mail.docx", "A 20257-2025")</f>
        <v/>
      </c>
    </row>
    <row r="17" ht="15" customHeight="1">
      <c r="A17" t="inlineStr">
        <is>
          <t>A 15107-2025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46326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15107-2025 artfynd.xlsx", "A 15107-2025")</f>
        <v/>
      </c>
      <c r="X17">
        <f>HYPERLINK("https://klasma.github.io/Logging_1962/kartor/A 15107-2025 karta.png", "A 15107-2025")</f>
        <v/>
      </c>
      <c r="Y17">
        <f>HYPERLINK("https://klasma.github.io/Logging_1962/kartor_geotiff/A 15107-2025 georefererad karta.tif", "A 15107-2025")</f>
        <v/>
      </c>
      <c r="AA17">
        <f>HYPERLINK("https://klasma.github.io/Logging_1962/klagomål/A 15107-2025 FSC-klagomål.docx", "A 15107-2025")</f>
        <v/>
      </c>
      <c r="AB17">
        <f>HYPERLINK("https://klasma.github.io/Logging_1962/klagomålsmail/A 15107-2025 FSC-klagomål mail.docx", "A 15107-2025")</f>
        <v/>
      </c>
      <c r="AC17">
        <f>HYPERLINK("https://klasma.github.io/Logging_1962/tillsyn/A 15107-2025 tillsynsbegäran.docx", "A 15107-2025")</f>
        <v/>
      </c>
      <c r="AD17">
        <f>HYPERLINK("https://klasma.github.io/Logging_1962/tillsynsmail/A 15107-2025 tillsynsbegäran mail.docx", "A 15107-2025")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46326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38017-2025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45882</v>
      </c>
      <c r="E19" s="1" t="n">
        <v>46326</v>
      </c>
      <c r="F19" t="inlineStr">
        <is>
          <t>VÄSTMANLANDS LÄN</t>
        </is>
      </c>
      <c r="G19" t="inlineStr">
        <is>
          <t>NORBERG</t>
        </is>
      </c>
      <c r="H19" t="inlineStr">
        <is>
          <t>Övriga Aktiebolag</t>
        </is>
      </c>
      <c r="I19" t="n">
        <v>15.5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HYPERLINK("https://klasma.github.io/Logging_1962/artfynd/A 38017-2025 artfynd.xlsx", "A 38017-2025")</f>
        <v/>
      </c>
      <c r="X19">
        <f>HYPERLINK("https://klasma.github.io/Logging_1962/kartor/A 38017-2025 karta.png", "A 38017-2025")</f>
        <v/>
      </c>
      <c r="Y19">
        <f>HYPERLINK("https://klasma.github.io/Logging_1962/kartor_geotiff/A 38017-2025 georefererad karta.tif", "A 38017-2025")</f>
        <v/>
      </c>
      <c r="AA19">
        <f>HYPERLINK("https://klasma.github.io/Logging_1962/klagomål/A 38017-2025 FSC-klagomål.docx", "A 38017-2025")</f>
        <v/>
      </c>
      <c r="AB19">
        <f>HYPERLINK("https://klasma.github.io/Logging_1962/klagomålsmail/A 38017-2025 FSC-klagomål mail.docx", "A 38017-2025")</f>
        <v/>
      </c>
      <c r="AC19">
        <f>HYPERLINK("https://klasma.github.io/Logging_1962/tillsyn/A 38017-2025 tillsynsbegäran.docx", "A 38017-2025")</f>
        <v/>
      </c>
      <c r="AD19">
        <f>HYPERLINK("https://klasma.github.io/Logging_1962/tillsynsmail/A 38017-2025 tillsynsbegäran mail.docx", "A 38017-2025")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46326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46326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20407-2026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46139</v>
      </c>
      <c r="E22" s="1" t="n">
        <v>46326</v>
      </c>
      <c r="F22" t="inlineStr">
        <is>
          <t>VÄSTMANLANDS LÄN</t>
        </is>
      </c>
      <c r="G22" t="inlineStr">
        <is>
          <t>NORBERG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HYPERLINK("https://klasma.github.io/Logging_1962/artfynd/A 20407-2026 artfynd.xlsx", "A 20407-2026")</f>
        <v/>
      </c>
      <c r="X22">
        <f>HYPERLINK("https://klasma.github.io/Logging_1962/kartor/A 20407-2026 karta.png", "A 20407-2026")</f>
        <v/>
      </c>
      <c r="Y22">
        <f>HYPERLINK("https://klasma.github.io/Logging_1962/kartor_geotiff/A 20407-2026 georefererad karta.tif", "A 20407-2026")</f>
        <v/>
      </c>
      <c r="AA22">
        <f>HYPERLINK("https://klasma.github.io/Logging_1962/klagomål/A 20407-2026 FSC-klagomål.docx", "A 20407-2026")</f>
        <v/>
      </c>
      <c r="AB22">
        <f>HYPERLINK("https://klasma.github.io/Logging_1962/klagomålsmail/A 20407-2026 FSC-klagomål mail.docx", "A 20407-2026")</f>
        <v/>
      </c>
      <c r="AC22">
        <f>HYPERLINK("https://klasma.github.io/Logging_1962/tillsyn/A 20407-2026 tillsynsbegäran.docx", "A 20407-2026")</f>
        <v/>
      </c>
      <c r="AD22">
        <f>HYPERLINK("https://klasma.github.io/Logging_1962/tillsynsmail/A 20407-2026 tillsynsbegäran mail.docx", "A 20407-2026")</f>
        <v/>
      </c>
      <c r="AE22">
        <f>HYPERLINK("https://klasma.github.io/Logging_1962/fåglar/A 20407-2026 prioriterade fågelarter.docx", "A 20407-2026")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46326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28307-2026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46326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Plattlummer</t>
        </is>
      </c>
      <c r="W24">
        <f>HYPERLINK("https://klasma.github.io/Logging_1962/artfynd/A 28307-2026 artfynd.xlsx", "A 28307-2026")</f>
        <v/>
      </c>
      <c r="X24">
        <f>HYPERLINK("https://klasma.github.io/Logging_1962/kartor/A 28307-2026 karta.png", "A 28307-2026")</f>
        <v/>
      </c>
      <c r="Y24">
        <f>HYPERLINK("https://klasma.github.io/Logging_1962/kartor_geotiff/A 28307-2026 georefererad karta.tif", "A 28307-2026")</f>
        <v/>
      </c>
      <c r="AA24">
        <f>HYPERLINK("https://klasma.github.io/Logging_1962/klagomål/A 28307-2026 FSC-klagomål.docx", "A 28307-2026")</f>
        <v/>
      </c>
      <c r="AB24">
        <f>HYPERLINK("https://klasma.github.io/Logging_1962/klagomålsmail/A 28307-2026 FSC-klagomål mail.docx", "A 28307-2026")</f>
        <v/>
      </c>
      <c r="AC24">
        <f>HYPERLINK("https://klasma.github.io/Logging_1962/tillsyn/A 28307-2026 tillsynsbegäran.docx", "A 28307-2026")</f>
        <v/>
      </c>
      <c r="AD24">
        <f>HYPERLINK("https://klasma.github.io/Logging_1962/tillsynsmail/A 28307-2026 tillsynsbegäran mail.docx", "A 28307-2026")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46326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46326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41909-2026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46303</v>
      </c>
      <c r="E27" s="1" t="n">
        <v>46326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41909-2026 artfynd.xlsx", "A 41909-2026")</f>
        <v/>
      </c>
      <c r="X27">
        <f>HYPERLINK("https://klasma.github.io/Logging_1962/kartor/A 41909-2026 karta.png", "A 41909-2026")</f>
        <v/>
      </c>
      <c r="Y27">
        <f>HYPERLINK("https://klasma.github.io/Logging_1962/kartor_geotiff/A 41909-2026 georefererad karta.tif", "A 41909-2026")</f>
        <v/>
      </c>
      <c r="AA27">
        <f>HYPERLINK("https://klasma.github.io/Logging_1962/klagomål/A 41909-2026 FSC-klagomål.docx", "A 41909-2026")</f>
        <v/>
      </c>
      <c r="AB27">
        <f>HYPERLINK("https://klasma.github.io/Logging_1962/klagomålsmail/A 41909-2026 FSC-klagomål mail.docx", "A 41909-2026")</f>
        <v/>
      </c>
      <c r="AC27">
        <f>HYPERLINK("https://klasma.github.io/Logging_1962/tillsyn/A 41909-2026 tillsynsbegäran.docx", "A 41909-2026")</f>
        <v/>
      </c>
      <c r="AD27">
        <f>HYPERLINK("https://klasma.github.io/Logging_1962/tillsynsmail/A 41909-2026 tillsynsbegäran mail.docx", "A 41909-2026")</f>
        <v/>
      </c>
    </row>
    <row r="28" ht="15" customHeight="1">
      <c r="A28" t="inlineStr">
        <is>
          <t>A 36383-2026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46268</v>
      </c>
      <c r="E28" s="1" t="n">
        <v>46326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Plattlummer</t>
        </is>
      </c>
      <c r="W28">
        <f>HYPERLINK("https://klasma.github.io/Logging_1962/artfynd/A 36383-2026 artfynd.xlsx", "A 36383-2026")</f>
        <v/>
      </c>
      <c r="X28">
        <f>HYPERLINK("https://klasma.github.io/Logging_1962/kartor/A 36383-2026 karta.png", "A 36383-2026")</f>
        <v/>
      </c>
      <c r="Y28">
        <f>HYPERLINK("https://klasma.github.io/Logging_1962/kartor_geotiff/A 36383-2026 georefererad karta.tif", "A 36383-2026")</f>
        <v/>
      </c>
      <c r="AA28">
        <f>HYPERLINK("https://klasma.github.io/Logging_1962/klagomål/A 36383-2026 FSC-klagomål.docx", "A 36383-2026")</f>
        <v/>
      </c>
      <c r="AB28">
        <f>HYPERLINK("https://klasma.github.io/Logging_1962/klagomålsmail/A 36383-2026 FSC-klagomål mail.docx", "A 36383-2026")</f>
        <v/>
      </c>
      <c r="AC28">
        <f>HYPERLINK("https://klasma.github.io/Logging_1962/tillsyn/A 36383-2026 tillsynsbegäran.docx", "A 36383-2026")</f>
        <v/>
      </c>
      <c r="AD28">
        <f>HYPERLINK("https://klasma.github.io/Logging_1962/tillsynsmail/A 36383-2026 tillsynsbegäran mail.docx", "A 36383-2026")</f>
        <v/>
      </c>
    </row>
    <row r="29" ht="15" customHeight="1">
      <c r="A29" t="inlineStr">
        <is>
          <t>A 38927-2026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46282</v>
      </c>
      <c r="E29" s="1" t="n">
        <v>46326</v>
      </c>
      <c r="F29" t="inlineStr">
        <is>
          <t>VÄSTMANLANDS LÄN</t>
        </is>
      </c>
      <c r="G29" t="inlineStr">
        <is>
          <t>NORBERG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HYPERLINK("https://klasma.github.io/Logging_1962/artfynd/A 38927-2026 artfynd.xlsx", "A 38927-2026")</f>
        <v/>
      </c>
      <c r="X29">
        <f>HYPERLINK("https://klasma.github.io/Logging_1962/kartor/A 38927-2026 karta.png", "A 38927-2026")</f>
        <v/>
      </c>
      <c r="Y29">
        <f>HYPERLINK("https://klasma.github.io/Logging_1962/kartor_geotiff/A 38927-2026 georefererad karta.tif", "A 38927-2026")</f>
        <v/>
      </c>
      <c r="AA29">
        <f>HYPERLINK("https://klasma.github.io/Logging_1962/klagomål/A 38927-2026 FSC-klagomål.docx", "A 38927-2026")</f>
        <v/>
      </c>
      <c r="AB29">
        <f>HYPERLINK("https://klasma.github.io/Logging_1962/klagomålsmail/A 38927-2026 FSC-klagomål mail.docx", "A 38927-2026")</f>
        <v/>
      </c>
      <c r="AC29">
        <f>HYPERLINK("https://klasma.github.io/Logging_1962/tillsyn/A 38927-2026 tillsynsbegäran.docx", "A 38927-2026")</f>
        <v/>
      </c>
      <c r="AD29">
        <f>HYPERLINK("https://klasma.github.io/Logging_1962/tillsynsmail/A 38927-2026 tillsynsbegäran mail.docx", "A 38927-2026")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46326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46326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51415-2022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44869</v>
      </c>
      <c r="E32" s="1" t="n">
        <v>46326</v>
      </c>
      <c r="F32" t="inlineStr">
        <is>
          <t>VÄSTMANLANDS LÄN</t>
        </is>
      </c>
      <c r="G32" t="inlineStr">
        <is>
          <t>NORBERG</t>
        </is>
      </c>
      <c r="H32" t="inlineStr">
        <is>
          <t>Övriga Aktiebolag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46326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46326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46326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46326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46326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46326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46326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46326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46326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46326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46326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46326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46326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46326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46326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46326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46326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46326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46326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46326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46326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9907-2024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45363</v>
      </c>
      <c r="E54" s="1" t="n">
        <v>46326</v>
      </c>
      <c r="F54" t="inlineStr">
        <is>
          <t>VÄSTMANLANDS LÄN</t>
        </is>
      </c>
      <c r="G54" t="inlineStr">
        <is>
          <t>NORBERG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45200</v>
      </c>
      <c r="E55" s="1" t="n">
        <v>46326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46326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45705</v>
      </c>
      <c r="E57" s="1" t="n">
        <v>46326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46326</v>
      </c>
      <c r="F58" t="inlineStr">
        <is>
          <t>VÄSTMANLANDS LÄN</t>
        </is>
      </c>
      <c r="G58" t="inlineStr">
        <is>
          <t>NORBERG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46326</v>
      </c>
      <c r="F59" t="inlineStr">
        <is>
          <t>VÄSTMANLANDS LÄN</t>
        </is>
      </c>
      <c r="G59" t="inlineStr">
        <is>
          <t>NORBERG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46326</v>
      </c>
      <c r="F60" t="inlineStr">
        <is>
          <t>VÄSTMANLANDS LÄN</t>
        </is>
      </c>
      <c r="G60" t="inlineStr">
        <is>
          <t>NORBERG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46326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45316</v>
      </c>
      <c r="E62" s="1" t="n">
        <v>46326</v>
      </c>
      <c r="F62" t="inlineStr">
        <is>
          <t>VÄSTMANLANDS LÄN</t>
        </is>
      </c>
      <c r="G62" t="inlineStr">
        <is>
          <t>NORBERG</t>
        </is>
      </c>
      <c r="I62" t="n">
        <v>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46045</v>
      </c>
      <c r="E63" s="1" t="n">
        <v>46326</v>
      </c>
      <c r="F63" t="inlineStr">
        <is>
          <t>VÄSTMANLANDS LÄN</t>
        </is>
      </c>
      <c r="G63" t="inlineStr">
        <is>
          <t>NORBERG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45274</v>
      </c>
      <c r="E64" s="1" t="n">
        <v>46326</v>
      </c>
      <c r="F64" t="inlineStr">
        <is>
          <t>VÄSTMANLANDS LÄN</t>
        </is>
      </c>
      <c r="G64" t="inlineStr">
        <is>
          <t>NORBERG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46326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46326</v>
      </c>
      <c r="F66" t="inlineStr">
        <is>
          <t>VÄSTMANLANDS LÄN</t>
        </is>
      </c>
      <c r="G66" t="inlineStr">
        <is>
          <t>NORBERG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44691</v>
      </c>
      <c r="E67" s="1" t="n">
        <v>46326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45001</v>
      </c>
      <c r="E68" s="1" t="n">
        <v>46326</v>
      </c>
      <c r="F68" t="inlineStr">
        <is>
          <t>VÄSTMANLANDS LÄN</t>
        </is>
      </c>
      <c r="G68" t="inlineStr">
        <is>
          <t>NORBERG</t>
        </is>
      </c>
      <c r="I68" t="n">
        <v>22.4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46326</v>
      </c>
      <c r="F69" t="inlineStr">
        <is>
          <t>VÄSTMANLANDS LÄN</t>
        </is>
      </c>
      <c r="G69" t="inlineStr">
        <is>
          <t>NORBERG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45729</v>
      </c>
      <c r="E70" s="1" t="n">
        <v>46326</v>
      </c>
      <c r="F70" t="inlineStr">
        <is>
          <t>VÄSTMANLANDS LÄN</t>
        </is>
      </c>
      <c r="G70" t="inlineStr">
        <is>
          <t>NORBERG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46326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46326</v>
      </c>
      <c r="F72" t="inlineStr">
        <is>
          <t>VÄSTMANLANDS LÄN</t>
        </is>
      </c>
      <c r="G72" t="inlineStr">
        <is>
          <t>NORBERG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46326</v>
      </c>
      <c r="F73" t="inlineStr">
        <is>
          <t>VÄSTMANLANDS LÄN</t>
        </is>
      </c>
      <c r="G73" t="inlineStr">
        <is>
          <t>NORBERG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46326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46326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46326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50124-2022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46326</v>
      </c>
      <c r="F77" t="inlineStr">
        <is>
          <t>VÄSTMANLANDS LÄN</t>
        </is>
      </c>
      <c r="G77" t="inlineStr">
        <is>
          <t>NORBERG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45232</v>
      </c>
      <c r="E78" s="1" t="n">
        <v>46326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60339-2025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45994</v>
      </c>
      <c r="E79" s="1" t="n">
        <v>46326</v>
      </c>
      <c r="F79" t="inlineStr">
        <is>
          <t>VÄSTMANLANDS LÄN</t>
        </is>
      </c>
      <c r="G79" t="inlineStr">
        <is>
          <t>NORBERG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46326</v>
      </c>
      <c r="F80" t="inlineStr">
        <is>
          <t>VÄSTMANLANDS LÄN</t>
        </is>
      </c>
      <c r="G80" t="inlineStr">
        <is>
          <t>NORBERG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54670-2025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45966</v>
      </c>
      <c r="E81" s="1" t="n">
        <v>46326</v>
      </c>
      <c r="F81" t="inlineStr">
        <is>
          <t>VÄSTMANLANDS LÄN</t>
        </is>
      </c>
      <c r="G81" t="inlineStr">
        <is>
          <t>NORBERG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45631</v>
      </c>
      <c r="E82" s="1" t="n">
        <v>46326</v>
      </c>
      <c r="F82" t="inlineStr">
        <is>
          <t>VÄSTMANLANDS LÄN</t>
        </is>
      </c>
      <c r="G82" t="inlineStr">
        <is>
          <t>NORBERG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46326</v>
      </c>
      <c r="F83" t="inlineStr">
        <is>
          <t>VÄSTMANLANDS LÄN</t>
        </is>
      </c>
      <c r="G83" t="inlineStr">
        <is>
          <t>NORBERG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48396-2023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45205</v>
      </c>
      <c r="E84" s="1" t="n">
        <v>46326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46326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45066-2023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46326</v>
      </c>
      <c r="F86" t="inlineStr">
        <is>
          <t>VÄSTMANLANDS LÄN</t>
        </is>
      </c>
      <c r="G86" t="inlineStr">
        <is>
          <t>NORBERG</t>
        </is>
      </c>
      <c r="H86" t="inlineStr">
        <is>
          <t>Bergvik skog väst AB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46326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46326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49763-2024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46326</v>
      </c>
      <c r="F89" t="inlineStr">
        <is>
          <t>VÄSTMANLANDS LÄN</t>
        </is>
      </c>
      <c r="G89" t="inlineStr">
        <is>
          <t>NORBERG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45537</v>
      </c>
      <c r="E90" s="1" t="n">
        <v>46326</v>
      </c>
      <c r="F90" t="inlineStr">
        <is>
          <t>VÄSTMANLANDS LÄN</t>
        </is>
      </c>
      <c r="G90" t="inlineStr">
        <is>
          <t>NORBERG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46326</v>
      </c>
      <c r="F91" t="inlineStr">
        <is>
          <t>VÄSTMANLANDS LÄN</t>
        </is>
      </c>
      <c r="G91" t="inlineStr">
        <is>
          <t>NORBERG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46326</v>
      </c>
      <c r="F92" t="inlineStr">
        <is>
          <t>VÄSTMANLANDS LÄN</t>
        </is>
      </c>
      <c r="G92" t="inlineStr">
        <is>
          <t>NORBERG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46326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46099</v>
      </c>
      <c r="E94" s="1" t="n">
        <v>46326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46326</v>
      </c>
      <c r="F95" t="inlineStr">
        <is>
          <t>VÄSTMANLANDS LÄN</t>
        </is>
      </c>
      <c r="G95" t="inlineStr">
        <is>
          <t>NORBERG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46326</v>
      </c>
      <c r="F96" t="inlineStr">
        <is>
          <t>VÄSTMANLANDS LÄN</t>
        </is>
      </c>
      <c r="G96" t="inlineStr">
        <is>
          <t>NORBERG</t>
        </is>
      </c>
      <c r="I96" t="n">
        <v>22.8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51790-2024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45607</v>
      </c>
      <c r="E97" s="1" t="n">
        <v>46326</v>
      </c>
      <c r="F97" t="inlineStr">
        <is>
          <t>VÄSTMANLANDS LÄN</t>
        </is>
      </c>
      <c r="G97" t="inlineStr">
        <is>
          <t>NORBERG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46020</v>
      </c>
      <c r="E98" s="1" t="n">
        <v>46326</v>
      </c>
      <c r="F98" t="inlineStr">
        <is>
          <t>VÄSTMANLANDS LÄN</t>
        </is>
      </c>
      <c r="G98" t="inlineStr">
        <is>
          <t>NORBERG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46105</v>
      </c>
      <c r="E99" s="1" t="n">
        <v>46326</v>
      </c>
      <c r="F99" t="inlineStr">
        <is>
          <t>VÄSTMANLANDS LÄN</t>
        </is>
      </c>
      <c r="G99" t="inlineStr">
        <is>
          <t>NORBERG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46105</v>
      </c>
      <c r="E100" s="1" t="n">
        <v>46326</v>
      </c>
      <c r="F100" t="inlineStr">
        <is>
          <t>VÄSTMANLANDS LÄN</t>
        </is>
      </c>
      <c r="G100" t="inlineStr">
        <is>
          <t>NORBERG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46326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15981-2026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46108</v>
      </c>
      <c r="E102" s="1" t="n">
        <v>46326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18960-2025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45764</v>
      </c>
      <c r="E103" s="1" t="n">
        <v>46326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16383-2026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46111</v>
      </c>
      <c r="E104" s="1" t="n">
        <v>46326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46114</v>
      </c>
      <c r="E105" s="1" t="n">
        <v>46326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46326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46119</v>
      </c>
      <c r="E107" s="1" t="n">
        <v>46326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47610-2022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46326</v>
      </c>
      <c r="F108" t="inlineStr">
        <is>
          <t>VÄSTMANLANDS LÄN</t>
        </is>
      </c>
      <c r="G108" t="inlineStr">
        <is>
          <t>NORBERG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46326</v>
      </c>
      <c r="F109" t="inlineStr">
        <is>
          <t>VÄSTMANLANDS LÄN</t>
        </is>
      </c>
      <c r="G109" t="inlineStr">
        <is>
          <t>NORBERG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3587-2024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45320</v>
      </c>
      <c r="E110" s="1" t="n">
        <v>46326</v>
      </c>
      <c r="F110" t="inlineStr">
        <is>
          <t>VÄSTMANLANDS LÄN</t>
        </is>
      </c>
      <c r="G110" t="inlineStr">
        <is>
          <t>NORBERG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46326</v>
      </c>
      <c r="F111" t="inlineStr">
        <is>
          <t>VÄSTMANLANDS LÄN</t>
        </is>
      </c>
      <c r="G111" t="inlineStr">
        <is>
          <t>NORBERG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46326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19377-2025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45769</v>
      </c>
      <c r="E113" s="1" t="n">
        <v>46326</v>
      </c>
      <c r="F113" t="inlineStr">
        <is>
          <t>VÄSTMANLANDS LÄN</t>
        </is>
      </c>
      <c r="G113" t="inlineStr">
        <is>
          <t>NORBERG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45408</v>
      </c>
      <c r="E114" s="1" t="n">
        <v>46326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45598</v>
      </c>
      <c r="E115" s="1" t="n">
        <v>46326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45056</v>
      </c>
      <c r="E116" s="1" t="n">
        <v>46326</v>
      </c>
      <c r="F116" t="inlineStr">
        <is>
          <t>VÄSTMANLANDS LÄN</t>
        </is>
      </c>
      <c r="G116" t="inlineStr">
        <is>
          <t>NORBERG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45155</v>
      </c>
      <c r="E117" s="1" t="n">
        <v>46326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20378-2023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45056</v>
      </c>
      <c r="E118" s="1" t="n">
        <v>46326</v>
      </c>
      <c r="F118" t="inlineStr">
        <is>
          <t>VÄSTMANLANDS LÄN</t>
        </is>
      </c>
      <c r="G118" t="inlineStr">
        <is>
          <t>NORBERG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45639</v>
      </c>
      <c r="E119" s="1" t="n">
        <v>46326</v>
      </c>
      <c r="F119" t="inlineStr">
        <is>
          <t>VÄSTMANLANDS LÄN</t>
        </is>
      </c>
      <c r="G119" t="inlineStr">
        <is>
          <t>NORBERG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46326</v>
      </c>
      <c r="F120" t="inlineStr">
        <is>
          <t>VÄSTMANLANDS LÄN</t>
        </is>
      </c>
      <c r="G120" t="inlineStr">
        <is>
          <t>NORBERG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45588</v>
      </c>
      <c r="E121" s="1" t="n">
        <v>46326</v>
      </c>
      <c r="F121" t="inlineStr">
        <is>
          <t>VÄSTMANLANDS LÄN</t>
        </is>
      </c>
      <c r="G121" t="inlineStr">
        <is>
          <t>NORBERG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46326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20968-2026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46142</v>
      </c>
      <c r="E123" s="1" t="n">
        <v>46326</v>
      </c>
      <c r="F123" t="inlineStr">
        <is>
          <t>VÄSTMANLANDS LÄN</t>
        </is>
      </c>
      <c r="G123" t="inlineStr">
        <is>
          <t>NORBERG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46326</v>
      </c>
      <c r="F124" t="inlineStr">
        <is>
          <t>VÄSTMANLANDS LÄN</t>
        </is>
      </c>
      <c r="G124" t="inlineStr">
        <is>
          <t>NORBERG</t>
        </is>
      </c>
      <c r="H124" t="inlineStr">
        <is>
          <t>Bergvik skog väst AB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46326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46326</v>
      </c>
      <c r="F126" t="inlineStr">
        <is>
          <t>VÄSTMANLANDS LÄN</t>
        </is>
      </c>
      <c r="G126" t="inlineStr">
        <is>
          <t>NORBERG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46148</v>
      </c>
      <c r="E127" s="1" t="n">
        <v>46326</v>
      </c>
      <c r="F127" t="inlineStr">
        <is>
          <t>VÄSTMANLANDS LÄN</t>
        </is>
      </c>
      <c r="G127" t="inlineStr">
        <is>
          <t>NORBERG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21973-2026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46326</v>
      </c>
      <c r="F128" t="inlineStr">
        <is>
          <t>VÄSTMANLANDS LÄN</t>
        </is>
      </c>
      <c r="G128" t="inlineStr">
        <is>
          <t>NORBERG</t>
        </is>
      </c>
      <c r="H128" t="inlineStr">
        <is>
          <t>Bergvik skog väst AB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46326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56400-2025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46326</v>
      </c>
      <c r="F130" t="inlineStr">
        <is>
          <t>VÄSTMANLANDS LÄN</t>
        </is>
      </c>
      <c r="G130" t="inlineStr">
        <is>
          <t>NORBERG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46326</v>
      </c>
      <c r="F131" t="inlineStr">
        <is>
          <t>VÄSTMANLANDS LÄN</t>
        </is>
      </c>
      <c r="G131" t="inlineStr">
        <is>
          <t>NORBERG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45613</v>
      </c>
      <c r="E132" s="1" t="n">
        <v>46326</v>
      </c>
      <c r="F132" t="inlineStr">
        <is>
          <t>VÄSTMANLANDS LÄN</t>
        </is>
      </c>
      <c r="G132" t="inlineStr">
        <is>
          <t>NORBERG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46176</v>
      </c>
      <c r="E133" s="1" t="n">
        <v>46326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46326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46326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41448-2024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45560</v>
      </c>
      <c r="E136" s="1" t="n">
        <v>46326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45200</v>
      </c>
      <c r="E137" s="1" t="n">
        <v>46326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46326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45089</v>
      </c>
      <c r="E139" s="1" t="n">
        <v>46326</v>
      </c>
      <c r="F139" t="inlineStr">
        <is>
          <t>VÄSTMANLANDS LÄN</t>
        </is>
      </c>
      <c r="G139" t="inlineStr">
        <is>
          <t>NORBERG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45588</v>
      </c>
      <c r="E140" s="1" t="n">
        <v>46326</v>
      </c>
      <c r="F140" t="inlineStr">
        <is>
          <t>VÄSTMANLANDS LÄN</t>
        </is>
      </c>
      <c r="G140" t="inlineStr">
        <is>
          <t>NORBERG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46326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45632</v>
      </c>
      <c r="E142" s="1" t="n">
        <v>46326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46326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46326</v>
      </c>
      <c r="F144" t="inlineStr">
        <is>
          <t>VÄSTMANLANDS LÄN</t>
        </is>
      </c>
      <c r="G144" t="inlineStr">
        <is>
          <t>NORBERG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46326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46326</v>
      </c>
      <c r="F146" t="inlineStr">
        <is>
          <t>VÄSTMANLANDS LÄN</t>
        </is>
      </c>
      <c r="G146" t="inlineStr">
        <is>
          <t>NORBERG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46326</v>
      </c>
      <c r="F147" t="inlineStr">
        <is>
          <t>VÄSTMANLANDS LÄN</t>
        </is>
      </c>
      <c r="G147" t="inlineStr">
        <is>
          <t>NORBERG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67356-2021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44523</v>
      </c>
      <c r="E148" s="1" t="n">
        <v>46326</v>
      </c>
      <c r="F148" t="inlineStr">
        <is>
          <t>VÄSTMANLANDS LÄN</t>
        </is>
      </c>
      <c r="G148" t="inlineStr">
        <is>
          <t>NORBERG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46326</v>
      </c>
      <c r="F149" t="inlineStr">
        <is>
          <t>VÄSTMANLANDS LÄN</t>
        </is>
      </c>
      <c r="G149" t="inlineStr">
        <is>
          <t>NORBERG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45233</v>
      </c>
      <c r="E150" s="1" t="n">
        <v>46326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46326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45121</v>
      </c>
      <c r="E152" s="1" t="n">
        <v>46326</v>
      </c>
      <c r="F152" t="inlineStr">
        <is>
          <t>VÄSTMANLANDS LÄN</t>
        </is>
      </c>
      <c r="G152" t="inlineStr">
        <is>
          <t>NORBERG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45028</v>
      </c>
      <c r="E153" s="1" t="n">
        <v>46326</v>
      </c>
      <c r="F153" t="inlineStr">
        <is>
          <t>VÄSTMANLANDS LÄN</t>
        </is>
      </c>
      <c r="G153" t="inlineStr">
        <is>
          <t>NORBERG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46326</v>
      </c>
      <c r="F154" t="inlineStr">
        <is>
          <t>VÄSTMANLANDS LÄN</t>
        </is>
      </c>
      <c r="G154" t="inlineStr">
        <is>
          <t>NORBERG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46223</v>
      </c>
      <c r="E155" s="1" t="n">
        <v>46326</v>
      </c>
      <c r="F155" t="inlineStr">
        <is>
          <t>VÄSTMANLANDS LÄN</t>
        </is>
      </c>
      <c r="G155" t="inlineStr">
        <is>
          <t>NORBERG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46326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46326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46326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46326</v>
      </c>
      <c r="F159" t="inlineStr">
        <is>
          <t>VÄSTMANLANDS LÄN</t>
        </is>
      </c>
      <c r="G159" t="inlineStr">
        <is>
          <t>NORBERG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44727</v>
      </c>
      <c r="E160" s="1" t="n">
        <v>46326</v>
      </c>
      <c r="F160" t="inlineStr">
        <is>
          <t>VÄSTMANLANDS LÄN</t>
        </is>
      </c>
      <c r="G160" t="inlineStr">
        <is>
          <t>NORBERG</t>
        </is>
      </c>
      <c r="H160" t="inlineStr">
        <is>
          <t>Bergvik skog väst AB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31967-2026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46232</v>
      </c>
      <c r="E161" s="1" t="n">
        <v>46326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46233</v>
      </c>
      <c r="E162" s="1" t="n">
        <v>46326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46326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46326</v>
      </c>
      <c r="F164" t="inlineStr">
        <is>
          <t>VÄSTMANLANDS LÄN</t>
        </is>
      </c>
      <c r="G164" t="inlineStr">
        <is>
          <t>NORBERG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46326</v>
      </c>
      <c r="F165" t="inlineStr">
        <is>
          <t>VÄSTMANLANDS LÄN</t>
        </is>
      </c>
      <c r="G165" t="inlineStr">
        <is>
          <t>NORBERG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46326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46326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46326</v>
      </c>
      <c r="F168" t="inlineStr">
        <is>
          <t>VÄSTMANLANDS LÄN</t>
        </is>
      </c>
      <c r="G168" t="inlineStr">
        <is>
          <t>NORBERG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46326</v>
      </c>
      <c r="F169" t="inlineStr">
        <is>
          <t>VÄSTMANLANDS LÄN</t>
        </is>
      </c>
      <c r="G169" t="inlineStr">
        <is>
          <t>NORBERG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46326</v>
      </c>
      <c r="F170" t="inlineStr">
        <is>
          <t>VÄSTMANLANDS LÄN</t>
        </is>
      </c>
      <c r="G170" t="inlineStr">
        <is>
          <t>NORBERG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46326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46326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46326</v>
      </c>
      <c r="F173" t="inlineStr">
        <is>
          <t>VÄSTMANLANDS LÄN</t>
        </is>
      </c>
      <c r="G173" t="inlineStr">
        <is>
          <t>NORBERG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46326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46326</v>
      </c>
      <c r="F175" t="inlineStr">
        <is>
          <t>VÄSTMANLANDS LÄN</t>
        </is>
      </c>
      <c r="G175" t="inlineStr">
        <is>
          <t>NORBERG</t>
        </is>
      </c>
      <c r="H175" t="inlineStr">
        <is>
          <t>Övriga Aktiebolag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46326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46326</v>
      </c>
      <c r="F177" t="inlineStr">
        <is>
          <t>VÄSTMANLANDS LÄN</t>
        </is>
      </c>
      <c r="G177" t="inlineStr">
        <is>
          <t>NORBERG</t>
        </is>
      </c>
      <c r="H177" t="inlineStr">
        <is>
          <t>Övriga Aktiebolag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46326</v>
      </c>
      <c r="F178" t="inlineStr">
        <is>
          <t>VÄSTMANLANDS LÄN</t>
        </is>
      </c>
      <c r="G178" t="inlineStr">
        <is>
          <t>NORBERG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46253</v>
      </c>
      <c r="E179" s="1" t="n">
        <v>46326</v>
      </c>
      <c r="F179" t="inlineStr">
        <is>
          <t>VÄSTMANLANDS LÄN</t>
        </is>
      </c>
      <c r="G179" t="inlineStr">
        <is>
          <t>NORBERG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46326</v>
      </c>
      <c r="F180" t="inlineStr">
        <is>
          <t>VÄSTMANLANDS LÄN</t>
        </is>
      </c>
      <c r="G180" t="inlineStr">
        <is>
          <t>NORBERG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46326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46303</v>
      </c>
      <c r="E182" s="1" t="n">
        <v>46326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46303</v>
      </c>
      <c r="E183" s="1" t="n">
        <v>46326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46303</v>
      </c>
      <c r="E184" s="1" t="n">
        <v>46326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45454</v>
      </c>
      <c r="E185" s="1" t="n">
        <v>46326</v>
      </c>
      <c r="F185" t="inlineStr">
        <is>
          <t>VÄSTMANLANDS LÄN</t>
        </is>
      </c>
      <c r="G185" t="inlineStr">
        <is>
          <t>NORBERG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13471-2026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46326</v>
      </c>
      <c r="F186" t="inlineStr">
        <is>
          <t>VÄSTMANLANDS LÄN</t>
        </is>
      </c>
      <c r="G186" t="inlineStr">
        <is>
          <t>NORBERG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46326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46326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46326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36394-2026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46268</v>
      </c>
      <c r="E190" s="1" t="n">
        <v>46326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46326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46326</v>
      </c>
      <c r="F192" t="inlineStr">
        <is>
          <t>VÄSTMANLANDS LÄN</t>
        </is>
      </c>
      <c r="G192" t="inlineStr">
        <is>
          <t>NORBERG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46326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46326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46326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2026-10-31T03:27:46Z</dcterms:created>
  <dcterms:modified xmlns:dcterms="http://purl.org/dc/terms/" xmlns:xsi="http://www.w3.org/2001/XMLSchema-instance" xsi:type="dcterms:W3CDTF">2026-10-31T03:27:46Z</dcterms:modified>
</cp:coreProperties>
</file>