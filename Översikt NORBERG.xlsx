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31484-2026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46223</v>
      </c>
      <c r="E3" s="1" t="n">
        <v>46236</v>
      </c>
      <c r="F3" t="inlineStr">
        <is>
          <t>VÄSTMANLANDS LÄN</t>
        </is>
      </c>
      <c r="G3" t="inlineStr">
        <is>
          <t>NORBERG</t>
        </is>
      </c>
      <c r="I3" t="n">
        <v>11.7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Bårdlav
Korallblylav
Rävticka</t>
        </is>
      </c>
      <c r="W3">
        <f>HYPERLINK("https://klasma.github.io/Logging_1962/artfynd/A 31484-2026 artfynd.xlsx", "A 31484-2026")</f>
        <v/>
      </c>
      <c r="X3">
        <f>HYPERLINK("https://klasma.github.io/Logging_1962/kartor/A 31484-2026 karta.png", "A 31484-2026")</f>
        <v/>
      </c>
      <c r="Y3">
        <f>HYPERLINK("https://klasma.github.io/Logging_1962/kartor_geotiff/A 31484-2026 georefererad karta.tif", "A 31484-2026")</f>
        <v/>
      </c>
      <c r="AA3">
        <f>HYPERLINK("https://klasma.github.io/Logging_1962/klagomål/A 31484-2026 FSC-klagomål.docx", "A 31484-2026")</f>
        <v/>
      </c>
      <c r="AB3">
        <f>HYPERLINK("https://klasma.github.io/Logging_1962/klagomålsmail/A 31484-2026 FSC-klagomål mail.docx", "A 31484-2026")</f>
        <v/>
      </c>
      <c r="AC3">
        <f>HYPERLINK("https://klasma.github.io/Logging_1962/tillsyn/A 31484-2026 tillsynsbegäran.docx", "A 31484-2026")</f>
        <v/>
      </c>
      <c r="AD3">
        <f>HYPERLINK("https://klasma.github.io/Logging_1962/tillsynsmail/A 31484-2026 tillsynsbegäran mail.docx", "A 31484-2026")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46236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46236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Persiljespindling
Skogsknipprot</t>
        </is>
      </c>
      <c r="W5">
        <f>HYPERLINK("https://klasma.github.io/Logging_1962/artfynd/A 55711-2024 artfynd.xlsx", "A 55711-2024")</f>
        <v/>
      </c>
      <c r="X5">
        <f>HYPERLINK("https://klasma.github.io/Logging_1962/kartor/A 55711-2024 karta.png", "A 55711-2024")</f>
        <v/>
      </c>
      <c r="Y5">
        <f>HYPERLINK("https://klasma.github.io/Logging_1962/kartor_geotiff/A 55711-2024 georefererad karta.tif", "A 55711-2024")</f>
        <v/>
      </c>
      <c r="AA5">
        <f>HYPERLINK("https://klasma.github.io/Logging_1962/klagomål/A 55711-2024 FSC-klagomål.docx", "A 55711-2024")</f>
        <v/>
      </c>
      <c r="AB5">
        <f>HYPERLINK("https://klasma.github.io/Logging_1962/klagomålsmail/A 55711-2024 FSC-klagomål mail.docx", "A 55711-2024")</f>
        <v/>
      </c>
      <c r="AC5">
        <f>HYPERLINK("https://klasma.github.io/Logging_1962/tillsyn/A 55711-2024 tillsynsbegäran.docx", "A 55711-2024")</f>
        <v/>
      </c>
      <c r="AD5">
        <f>HYPERLINK("https://klasma.github.io/Logging_1962/tillsynsmail/A 55711-2024 tillsynsbegäran mail.docx", "A 55711-2024")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46236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46236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46236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52063-2022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44873</v>
      </c>
      <c r="E9" s="1" t="n">
        <v>46236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HYPERLINK("https://klasma.github.io/Logging_1962/artfynd/A 52063-2022 artfynd.xlsx", "A 52063-2022")</f>
        <v/>
      </c>
      <c r="X9">
        <f>HYPERLINK("https://klasma.github.io/Logging_1962/kartor/A 52063-2022 karta.png", "A 52063-2022")</f>
        <v/>
      </c>
      <c r="Y9">
        <f>HYPERLINK("https://klasma.github.io/Logging_1962/kartor_geotiff/A 52063-2022 georefererad karta.tif", "A 52063-2022")</f>
        <v/>
      </c>
      <c r="AA9">
        <f>HYPERLINK("https://klasma.github.io/Logging_1962/klagomål/A 52063-2022 FSC-klagomål.docx", "A 52063-2022")</f>
        <v/>
      </c>
      <c r="AB9">
        <f>HYPERLINK("https://klasma.github.io/Logging_1962/klagomålsmail/A 52063-2022 FSC-klagomål mail.docx", "A 52063-2022")</f>
        <v/>
      </c>
      <c r="AC9">
        <f>HYPERLINK("https://klasma.github.io/Logging_1962/tillsyn/A 52063-2022 tillsynsbegäran.docx", "A 52063-2022")</f>
        <v/>
      </c>
      <c r="AD9">
        <f>HYPERLINK("https://klasma.github.io/Logging_1962/tillsynsmail/A 52063-2022 tillsynsbegäran mail.docx", "A 52063-2022")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46236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28307-2026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46196</v>
      </c>
      <c r="E11" s="1" t="n">
        <v>46236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2.4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28307-2026 artfynd.xlsx", "A 28307-2026")</f>
        <v/>
      </c>
      <c r="X11">
        <f>HYPERLINK("https://klasma.github.io/Logging_1962/kartor/A 28307-2026 karta.png", "A 28307-2026")</f>
        <v/>
      </c>
      <c r="Y11">
        <f>HYPERLINK("https://klasma.github.io/Logging_1962/kartor_geotiff/A 28307-2026 georefererad karta.tif", "A 28307-2026")</f>
        <v/>
      </c>
      <c r="AA11">
        <f>HYPERLINK("https://klasma.github.io/Logging_1962/klagomål/A 28307-2026 FSC-klagomål.docx", "A 28307-2026")</f>
        <v/>
      </c>
      <c r="AB11">
        <f>HYPERLINK("https://klasma.github.io/Logging_1962/klagomålsmail/A 28307-2026 FSC-klagomål mail.docx", "A 28307-2026")</f>
        <v/>
      </c>
      <c r="AC11">
        <f>HYPERLINK("https://klasma.github.io/Logging_1962/tillsyn/A 28307-2026 tillsynsbegäran.docx", "A 28307-2026")</f>
        <v/>
      </c>
      <c r="AD11">
        <f>HYPERLINK("https://klasma.github.io/Logging_1962/tillsynsmail/A 28307-2026 tillsynsbegäran mail.docx", "A 28307-2026")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46236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46236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46236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46236</v>
      </c>
      <c r="F15" t="inlineStr">
        <is>
          <t>VÄSTMANLANDS LÄN</t>
        </is>
      </c>
      <c r="G15" t="inlineStr">
        <is>
          <t>NORBERG</t>
        </is>
      </c>
      <c r="I15" t="n">
        <v>0.4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61099-2024 artfynd.xlsx", "A 61099-2024")</f>
        <v/>
      </c>
      <c r="X15">
        <f>HYPERLINK("https://klasma.github.io/Logging_1962/kartor/A 61099-2024 karta.png", "A 61099-2024")</f>
        <v/>
      </c>
      <c r="Y15">
        <f>HYPERLINK("https://klasma.github.io/Logging_1962/kartor_geotiff/A 61099-2024 georefererad karta.tif", "A 61099-2024")</f>
        <v/>
      </c>
      <c r="AA15">
        <f>HYPERLINK("https://klasma.github.io/Logging_1962/klagomål/A 61099-2024 FSC-klagomål.docx", "A 61099-2024")</f>
        <v/>
      </c>
      <c r="AB15">
        <f>HYPERLINK("https://klasma.github.io/Logging_1962/klagomålsmail/A 61099-2024 FSC-klagomål mail.docx", "A 61099-2024")</f>
        <v/>
      </c>
      <c r="AC15">
        <f>HYPERLINK("https://klasma.github.io/Logging_1962/tillsyn/A 61099-2024 tillsynsbegäran.docx", "A 61099-2024")</f>
        <v/>
      </c>
      <c r="AD15">
        <f>HYPERLINK("https://klasma.github.io/Logging_1962/tillsynsmail/A 61099-2024 tillsynsbegäran mail.docx", "A 61099-2024")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46236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46236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46236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46236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46236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49163-2022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46236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46236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51415-2022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46236</v>
      </c>
      <c r="F23" t="inlineStr">
        <is>
          <t>VÄSTMANLANDS LÄN</t>
        </is>
      </c>
      <c r="G23" t="inlineStr">
        <is>
          <t>NORBERG</t>
        </is>
      </c>
      <c r="H23" t="inlineStr">
        <is>
          <t>Övriga Aktiebolag</t>
        </is>
      </c>
      <c r="I23" t="n">
        <v>8.300000000000001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46236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46236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46236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46236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46236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46236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46236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46236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46236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46236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46236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46236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46236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46236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3587-2024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45320</v>
      </c>
      <c r="E38" s="1" t="n">
        <v>46236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36905-2023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45154</v>
      </c>
      <c r="E39" s="1" t="n">
        <v>46236</v>
      </c>
      <c r="F39" t="inlineStr">
        <is>
          <t>VÄSTMANLANDS LÄN</t>
        </is>
      </c>
      <c r="G39" t="inlineStr">
        <is>
          <t>NORBERG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12796-2023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45001</v>
      </c>
      <c r="E40" s="1" t="n">
        <v>46236</v>
      </c>
      <c r="F40" t="inlineStr">
        <is>
          <t>VÄSTMANLANDS LÄN</t>
        </is>
      </c>
      <c r="G40" t="inlineStr">
        <is>
          <t>NORBERG</t>
        </is>
      </c>
      <c r="I40" t="n">
        <v>22.4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46236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67361-2021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46236</v>
      </c>
      <c r="F42" t="inlineStr">
        <is>
          <t>VÄSTMANLANDS LÄN</t>
        </is>
      </c>
      <c r="G42" t="inlineStr">
        <is>
          <t>NORBERG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44578</v>
      </c>
      <c r="E43" s="1" t="n">
        <v>46236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46236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46236</v>
      </c>
      <c r="F45" t="inlineStr">
        <is>
          <t>VÄSTMANLANDS LÄN</t>
        </is>
      </c>
      <c r="G45" t="inlineStr">
        <is>
          <t>NORBERG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67356-2021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46236</v>
      </c>
      <c r="F46" t="inlineStr">
        <is>
          <t>VÄSTMANLANDS LÄN</t>
        </is>
      </c>
      <c r="G46" t="inlineStr">
        <is>
          <t>NORBERG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45405</v>
      </c>
      <c r="E47" s="1" t="n">
        <v>46236</v>
      </c>
      <c r="F47" t="inlineStr">
        <is>
          <t>VÄSTMANLANDS LÄN</t>
        </is>
      </c>
      <c r="G47" t="inlineStr">
        <is>
          <t>NORBERG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46236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46236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45200</v>
      </c>
      <c r="E50" s="1" t="n">
        <v>46236</v>
      </c>
      <c r="F50" t="inlineStr">
        <is>
          <t>VÄSTMANLANDS LÄN</t>
        </is>
      </c>
      <c r="G50" t="inlineStr">
        <is>
          <t>NORBERG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46236</v>
      </c>
      <c r="F51" t="inlineStr">
        <is>
          <t>VÄSTMANLANDS LÄN</t>
        </is>
      </c>
      <c r="G51" t="inlineStr">
        <is>
          <t>NORBERG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20378-2023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45056</v>
      </c>
      <c r="E52" s="1" t="n">
        <v>46236</v>
      </c>
      <c r="F52" t="inlineStr">
        <is>
          <t>VÄSTMANLANDS LÄN</t>
        </is>
      </c>
      <c r="G52" t="inlineStr">
        <is>
          <t>NORBERG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45474</v>
      </c>
      <c r="E53" s="1" t="n">
        <v>46236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46236</v>
      </c>
      <c r="F54" t="inlineStr">
        <is>
          <t>VÄSTMANLANDS LÄN</t>
        </is>
      </c>
      <c r="G54" t="inlineStr">
        <is>
          <t>NORBERG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46236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8.800000000000001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46236</v>
      </c>
      <c r="F56" t="inlineStr">
        <is>
          <t>VÄSTMANLANDS LÄN</t>
        </is>
      </c>
      <c r="G56" t="inlineStr">
        <is>
          <t>NORBERG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56940-2021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44480</v>
      </c>
      <c r="E57" s="1" t="n">
        <v>46236</v>
      </c>
      <c r="F57" t="inlineStr">
        <is>
          <t>VÄSTMANLANDS LÄN</t>
        </is>
      </c>
      <c r="G57" t="inlineStr">
        <is>
          <t>NORBERG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46019</v>
      </c>
      <c r="E58" s="1" t="n">
        <v>46236</v>
      </c>
      <c r="F58" t="inlineStr">
        <is>
          <t>VÄSTMANLANDS LÄN</t>
        </is>
      </c>
      <c r="G58" t="inlineStr">
        <is>
          <t>NORBERG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40232-2024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45554</v>
      </c>
      <c r="E59" s="1" t="n">
        <v>46236</v>
      </c>
      <c r="F59" t="inlineStr">
        <is>
          <t>VÄSTMANLANDS LÄN</t>
        </is>
      </c>
      <c r="G59" t="inlineStr">
        <is>
          <t>NORBERG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37200-2023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46236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46236</v>
      </c>
      <c r="F61" t="inlineStr">
        <is>
          <t>VÄSTMANLANDS LÄN</t>
        </is>
      </c>
      <c r="G61" t="inlineStr">
        <is>
          <t>NORBERG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46236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46236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45598</v>
      </c>
      <c r="E64" s="1" t="n">
        <v>46236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46236</v>
      </c>
      <c r="F65" t="inlineStr">
        <is>
          <t>VÄSTMANLANDS LÄN</t>
        </is>
      </c>
      <c r="G65" t="inlineStr">
        <is>
          <t>NORBERG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41448-2024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45560</v>
      </c>
      <c r="E66" s="1" t="n">
        <v>46236</v>
      </c>
      <c r="F66" t="inlineStr">
        <is>
          <t>VÄSTMANLANDS LÄN</t>
        </is>
      </c>
      <c r="G66" t="inlineStr">
        <is>
          <t>NORBERG</t>
        </is>
      </c>
      <c r="H66" t="inlineStr">
        <is>
          <t>Bergvik skog väst AB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45613</v>
      </c>
      <c r="E67" s="1" t="n">
        <v>46236</v>
      </c>
      <c r="F67" t="inlineStr">
        <is>
          <t>VÄSTMANLANDS LÄN</t>
        </is>
      </c>
      <c r="G67" t="inlineStr">
        <is>
          <t>NORBERG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51793-2024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45607</v>
      </c>
      <c r="E68" s="1" t="n">
        <v>46236</v>
      </c>
      <c r="F68" t="inlineStr">
        <is>
          <t>VÄSTMANLANDS LÄN</t>
        </is>
      </c>
      <c r="G68" t="inlineStr">
        <is>
          <t>NORBERG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46236</v>
      </c>
      <c r="F69" t="inlineStr">
        <is>
          <t>VÄSTMANLANDS LÄN</t>
        </is>
      </c>
      <c r="G69" t="inlineStr">
        <is>
          <t>NORBERG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20968-2026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46142</v>
      </c>
      <c r="E70" s="1" t="n">
        <v>46236</v>
      </c>
      <c r="F70" t="inlineStr">
        <is>
          <t>VÄSTMANLANDS LÄN</t>
        </is>
      </c>
      <c r="G70" t="inlineStr">
        <is>
          <t>NORBERG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46236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46236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46236</v>
      </c>
      <c r="F73" t="inlineStr">
        <is>
          <t>VÄSTMANLANDS LÄN</t>
        </is>
      </c>
      <c r="G73" t="inlineStr">
        <is>
          <t>NORBERG</t>
        </is>
      </c>
      <c r="H73" t="inlineStr">
        <is>
          <t>Bergvik skog väst AB</t>
        </is>
      </c>
      <c r="I73" t="n">
        <v>12.1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21526-2026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46148</v>
      </c>
      <c r="E74" s="1" t="n">
        <v>46236</v>
      </c>
      <c r="F74" t="inlineStr">
        <is>
          <t>VÄSTMANLANDS LÄN</t>
        </is>
      </c>
      <c r="G74" t="inlineStr">
        <is>
          <t>NORBERG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46148</v>
      </c>
      <c r="E75" s="1" t="n">
        <v>46236</v>
      </c>
      <c r="F75" t="inlineStr">
        <is>
          <t>VÄSTMANLANDS LÄN</t>
        </is>
      </c>
      <c r="G75" t="inlineStr">
        <is>
          <t>NORBERG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46149</v>
      </c>
      <c r="E76" s="1" t="n">
        <v>46236</v>
      </c>
      <c r="F76" t="inlineStr">
        <is>
          <t>VÄSTMANLANDS LÄN</t>
        </is>
      </c>
      <c r="G76" t="inlineStr">
        <is>
          <t>NORBERG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46153</v>
      </c>
      <c r="E77" s="1" t="n">
        <v>46236</v>
      </c>
      <c r="F77" t="inlineStr">
        <is>
          <t>VÄSTMANLANDS LÄN</t>
        </is>
      </c>
      <c r="G77" t="inlineStr">
        <is>
          <t>NORBERG</t>
        </is>
      </c>
      <c r="H77" t="inlineStr">
        <is>
          <t>Bergvik skog väst AB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46153</v>
      </c>
      <c r="E78" s="1" t="n">
        <v>46236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21984-2026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46153</v>
      </c>
      <c r="E79" s="1" t="n">
        <v>46236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46236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46153</v>
      </c>
      <c r="E81" s="1" t="n">
        <v>46236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46153</v>
      </c>
      <c r="E82" s="1" t="n">
        <v>46236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46153</v>
      </c>
      <c r="E83" s="1" t="n">
        <v>46236</v>
      </c>
      <c r="F83" t="inlineStr">
        <is>
          <t>VÄSTMANLANDS LÄN</t>
        </is>
      </c>
      <c r="G83" t="inlineStr">
        <is>
          <t>NORBERG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45169</v>
      </c>
      <c r="E84" s="1" t="n">
        <v>46236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46236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46236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46197</v>
      </c>
      <c r="E87" s="1" t="n">
        <v>46236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45966</v>
      </c>
      <c r="E88" s="1" t="n">
        <v>46236</v>
      </c>
      <c r="F88" t="inlineStr">
        <is>
          <t>VÄSTMANLANDS LÄN</t>
        </is>
      </c>
      <c r="G88" t="inlineStr">
        <is>
          <t>NORBERG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73797-2021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44552</v>
      </c>
      <c r="E89" s="1" t="n">
        <v>46236</v>
      </c>
      <c r="F89" t="inlineStr">
        <is>
          <t>VÄSTMANLANDS LÄN</t>
        </is>
      </c>
      <c r="G89" t="inlineStr">
        <is>
          <t>NORBERG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37198-2023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45155</v>
      </c>
      <c r="E90" s="1" t="n">
        <v>46236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46236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45200</v>
      </c>
      <c r="E92" s="1" t="n">
        <v>46236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56400-2025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45974</v>
      </c>
      <c r="E93" s="1" t="n">
        <v>46236</v>
      </c>
      <c r="F93" t="inlineStr">
        <is>
          <t>VÄSTMANLANDS LÄN</t>
        </is>
      </c>
      <c r="G93" t="inlineStr">
        <is>
          <t>NORBERG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46236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46236</v>
      </c>
      <c r="F95" t="inlineStr">
        <is>
          <t>VÄSTMANLANDS LÄN</t>
        </is>
      </c>
      <c r="G95" t="inlineStr">
        <is>
          <t>NORBERG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45474</v>
      </c>
      <c r="E96" s="1" t="n">
        <v>46236</v>
      </c>
      <c r="F96" t="inlineStr">
        <is>
          <t>VÄSTMANLANDS LÄN</t>
        </is>
      </c>
      <c r="G96" t="inlineStr">
        <is>
          <t>NORBERG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45989</v>
      </c>
      <c r="E97" s="1" t="n">
        <v>46236</v>
      </c>
      <c r="F97" t="inlineStr">
        <is>
          <t>VÄSTMANLANDS LÄN</t>
        </is>
      </c>
      <c r="G97" t="inlineStr">
        <is>
          <t>NORBERG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45233</v>
      </c>
      <c r="E98" s="1" t="n">
        <v>46236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45454</v>
      </c>
      <c r="E99" s="1" t="n">
        <v>46236</v>
      </c>
      <c r="F99" t="inlineStr">
        <is>
          <t>VÄSTMANLANDS LÄN</t>
        </is>
      </c>
      <c r="G99" t="inlineStr">
        <is>
          <t>NORBERG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45454</v>
      </c>
      <c r="E100" s="1" t="n">
        <v>46236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46236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46236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46236</v>
      </c>
      <c r="F103" t="inlineStr">
        <is>
          <t>VÄSTMANLANDS LÄN</t>
        </is>
      </c>
      <c r="G103" t="inlineStr">
        <is>
          <t>NORBERG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36443-2024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45537</v>
      </c>
      <c r="E104" s="1" t="n">
        <v>46236</v>
      </c>
      <c r="F104" t="inlineStr">
        <is>
          <t>VÄSTMANLANDS LÄN</t>
        </is>
      </c>
      <c r="G104" t="inlineStr">
        <is>
          <t>NORBERG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46236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46236</v>
      </c>
      <c r="F106" t="inlineStr">
        <is>
          <t>VÄSTMANLANDS LÄN</t>
        </is>
      </c>
      <c r="G106" t="inlineStr">
        <is>
          <t>NORBERG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46236</v>
      </c>
      <c r="F107" t="inlineStr">
        <is>
          <t>VÄSTMANLANDS LÄN</t>
        </is>
      </c>
      <c r="G107" t="inlineStr">
        <is>
          <t>NORBERG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46236</v>
      </c>
      <c r="F108" t="inlineStr">
        <is>
          <t>VÄSTMANLANDS LÄN</t>
        </is>
      </c>
      <c r="G108" t="inlineStr">
        <is>
          <t>NORBERG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46236</v>
      </c>
      <c r="F109" t="inlineStr">
        <is>
          <t>VÄSTMANLANDS LÄN</t>
        </is>
      </c>
      <c r="G109" t="inlineStr">
        <is>
          <t>NORBERG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46014</v>
      </c>
      <c r="E110" s="1" t="n">
        <v>46236</v>
      </c>
      <c r="F110" t="inlineStr">
        <is>
          <t>VÄSTMANLANDS LÄN</t>
        </is>
      </c>
      <c r="G110" t="inlineStr">
        <is>
          <t>NORBERG</t>
        </is>
      </c>
      <c r="I110" t="n">
        <v>22.8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47753-2024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45588</v>
      </c>
      <c r="E111" s="1" t="n">
        <v>46236</v>
      </c>
      <c r="F111" t="inlineStr">
        <is>
          <t>VÄSTMANLANDS LÄN</t>
        </is>
      </c>
      <c r="G111" t="inlineStr">
        <is>
          <t>NORBERG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46014</v>
      </c>
      <c r="E112" s="1" t="n">
        <v>46236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46236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46236</v>
      </c>
      <c r="F114" t="inlineStr">
        <is>
          <t>VÄSTMANLANDS LÄN</t>
        </is>
      </c>
      <c r="G114" t="inlineStr">
        <is>
          <t>NORBERG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45179</v>
      </c>
      <c r="E115" s="1" t="n">
        <v>46236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51790-2024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45607</v>
      </c>
      <c r="E116" s="1" t="n">
        <v>46236</v>
      </c>
      <c r="F116" t="inlineStr">
        <is>
          <t>VÄSTMANLANDS LÄN</t>
        </is>
      </c>
      <c r="G116" t="inlineStr">
        <is>
          <t>NORBERG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46236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19377-2025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45769</v>
      </c>
      <c r="E118" s="1" t="n">
        <v>46236</v>
      </c>
      <c r="F118" t="inlineStr">
        <is>
          <t>VÄSTMANLANDS LÄN</t>
        </is>
      </c>
      <c r="G118" t="inlineStr">
        <is>
          <t>NORBERG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46236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46236</v>
      </c>
      <c r="F120" t="inlineStr">
        <is>
          <t>VÄSTMANLANDS LÄN</t>
        </is>
      </c>
      <c r="G120" t="inlineStr">
        <is>
          <t>NORBERG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46236</v>
      </c>
      <c r="F121" t="inlineStr">
        <is>
          <t>VÄSTMANLANDS LÄN</t>
        </is>
      </c>
      <c r="G121" t="inlineStr">
        <is>
          <t>NORBERG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46223</v>
      </c>
      <c r="E122" s="1" t="n">
        <v>46236</v>
      </c>
      <c r="F122" t="inlineStr">
        <is>
          <t>VÄSTMANLANDS LÄN</t>
        </is>
      </c>
      <c r="G122" t="inlineStr">
        <is>
          <t>NORBERG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46236</v>
      </c>
      <c r="F123" t="inlineStr">
        <is>
          <t>VÄSTMANLANDS LÄN</t>
        </is>
      </c>
      <c r="G123" t="inlineStr">
        <is>
          <t>NORBERG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46236</v>
      </c>
      <c r="F124" t="inlineStr">
        <is>
          <t>VÄSTMANLANDS LÄN</t>
        </is>
      </c>
      <c r="G124" t="inlineStr">
        <is>
          <t>NORBERG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46236</v>
      </c>
      <c r="F125" t="inlineStr">
        <is>
          <t>VÄSTMANLANDS LÄN</t>
        </is>
      </c>
      <c r="G125" t="inlineStr">
        <is>
          <t>NORBERG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46236</v>
      </c>
      <c r="F126" t="inlineStr">
        <is>
          <t>VÄSTMANLANDS LÄN</t>
        </is>
      </c>
      <c r="G126" t="inlineStr">
        <is>
          <t>NORBERG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46236</v>
      </c>
      <c r="F127" t="inlineStr">
        <is>
          <t>VÄSTMANLANDS LÄN</t>
        </is>
      </c>
      <c r="G127" t="inlineStr">
        <is>
          <t>NORBERG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46236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13.7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60339-2025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45994</v>
      </c>
      <c r="E129" s="1" t="n">
        <v>46236</v>
      </c>
      <c r="F129" t="inlineStr">
        <is>
          <t>VÄSTMANLANDS LÄN</t>
        </is>
      </c>
      <c r="G129" t="inlineStr">
        <is>
          <t>NORBERG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46236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46236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31972-2026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46236</v>
      </c>
      <c r="F132" t="inlineStr">
        <is>
          <t>VÄSTMANLANDS LÄN</t>
        </is>
      </c>
      <c r="G132" t="inlineStr">
        <is>
          <t>NORBERG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46236</v>
      </c>
      <c r="F133" t="inlineStr">
        <is>
          <t>VÄSTMANLANDS LÄN</t>
        </is>
      </c>
      <c r="G133" t="inlineStr">
        <is>
          <t>NORBERG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46232</v>
      </c>
      <c r="E134" s="1" t="n">
        <v>46236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46236</v>
      </c>
      <c r="F135" t="inlineStr">
        <is>
          <t>VÄSTMANLANDS LÄN</t>
        </is>
      </c>
      <c r="G135" t="inlineStr">
        <is>
          <t>NORBERG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46233</v>
      </c>
      <c r="E136" s="1" t="n">
        <v>46236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45121</v>
      </c>
      <c r="E137" s="1" t="n">
        <v>46236</v>
      </c>
      <c r="F137" t="inlineStr">
        <is>
          <t>VÄSTMANLANDS LÄN</t>
        </is>
      </c>
      <c r="G137" t="inlineStr">
        <is>
          <t>NORBERG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46236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46236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44691</v>
      </c>
      <c r="E140" s="1" t="n">
        <v>46236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46236</v>
      </c>
      <c r="F141" t="inlineStr">
        <is>
          <t>VÄSTMANLANDS LÄN</t>
        </is>
      </c>
      <c r="G141" t="inlineStr">
        <is>
          <t>NORBERG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44628</v>
      </c>
      <c r="E142" s="1" t="n">
        <v>46236</v>
      </c>
      <c r="F142" t="inlineStr">
        <is>
          <t>VÄSTMANLANDS LÄN</t>
        </is>
      </c>
      <c r="G142" t="inlineStr">
        <is>
          <t>NORBERG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46236</v>
      </c>
      <c r="F143" t="inlineStr">
        <is>
          <t>VÄSTMANLANDS LÄN</t>
        </is>
      </c>
      <c r="G143" t="inlineStr">
        <is>
          <t>NORBERG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46236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46236</v>
      </c>
      <c r="F145" t="inlineStr">
        <is>
          <t>VÄSTMANLANDS LÄN</t>
        </is>
      </c>
      <c r="G145" t="inlineStr">
        <is>
          <t>NORBERG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13471-2026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46236</v>
      </c>
      <c r="F146" t="inlineStr">
        <is>
          <t>VÄSTMANLANDS LÄN</t>
        </is>
      </c>
      <c r="G146" t="inlineStr">
        <is>
          <t>NORBERG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46236</v>
      </c>
      <c r="F147" t="inlineStr">
        <is>
          <t>VÄSTMANLANDS LÄN</t>
        </is>
      </c>
      <c r="G147" t="inlineStr">
        <is>
          <t>NORBERG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14234-2026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46236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46236</v>
      </c>
      <c r="F149" t="inlineStr">
        <is>
          <t>VÄSTMANLANDS LÄN</t>
        </is>
      </c>
      <c r="G149" t="inlineStr">
        <is>
          <t>NORBERG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46236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46236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46236</v>
      </c>
      <c r="F152" t="inlineStr">
        <is>
          <t>VÄSTMANLANDS LÄN</t>
        </is>
      </c>
      <c r="G152" t="inlineStr">
        <is>
          <t>NORBERG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46236</v>
      </c>
      <c r="F153" t="inlineStr">
        <is>
          <t>VÄSTMANLANDS LÄN</t>
        </is>
      </c>
      <c r="G153" t="inlineStr">
        <is>
          <t>NORBERG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46236</v>
      </c>
      <c r="F154" t="inlineStr">
        <is>
          <t>VÄSTMANLANDS LÄN</t>
        </is>
      </c>
      <c r="G154" t="inlineStr">
        <is>
          <t>NORBERG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46236</v>
      </c>
      <c r="F155" t="inlineStr">
        <is>
          <t>VÄSTMANLANDS LÄN</t>
        </is>
      </c>
      <c r="G155" t="inlineStr">
        <is>
          <t>NORBERG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46236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46236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46236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46236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46236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46114</v>
      </c>
      <c r="E161" s="1" t="n">
        <v>46236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46119</v>
      </c>
      <c r="E162" s="1" t="n">
        <v>46236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46236</v>
      </c>
      <c r="F163" t="inlineStr">
        <is>
          <t>VÄSTMANLANDS LÄN</t>
        </is>
      </c>
      <c r="G163" t="inlineStr">
        <is>
          <t>NORBERG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46236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46236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46236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46236</v>
      </c>
      <c r="F167" t="inlineStr">
        <is>
          <t>VÄSTMANLANDS LÄN</t>
        </is>
      </c>
      <c r="G167" t="inlineStr">
        <is>
          <t>NORBERG</t>
        </is>
      </c>
      <c r="H167" t="inlineStr">
        <is>
          <t>Övriga Aktiebolag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45679</v>
      </c>
      <c r="E168" s="1" t="n">
        <v>46236</v>
      </c>
      <c r="F168" t="inlineStr">
        <is>
          <t>VÄSTMANLANDS LÄN</t>
        </is>
      </c>
      <c r="G168" t="inlineStr">
        <is>
          <t>NORBERG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44687</v>
      </c>
      <c r="E169" s="1" t="n">
        <v>46236</v>
      </c>
      <c r="F169" t="inlineStr">
        <is>
          <t>VÄSTMANLANDS LÄN</t>
        </is>
      </c>
      <c r="G169" t="inlineStr">
        <is>
          <t>NORBERG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46236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45390</v>
      </c>
      <c r="E171" s="1" t="n">
        <v>46236</v>
      </c>
      <c r="F171" t="inlineStr">
        <is>
          <t>VÄSTMANLANDS LÄN</t>
        </is>
      </c>
      <c r="G171" t="inlineStr">
        <is>
          <t>NORBERG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46236</v>
      </c>
      <c r="F172" t="inlineStr">
        <is>
          <t>VÄSTMANLANDS LÄN</t>
        </is>
      </c>
      <c r="G172" t="inlineStr">
        <is>
          <t>NORBERG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46236</v>
      </c>
      <c r="F173" t="inlineStr">
        <is>
          <t>VÄSTMANLANDS LÄN</t>
        </is>
      </c>
      <c r="G173" t="inlineStr">
        <is>
          <t>NORBERG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46236</v>
      </c>
      <c r="F174" t="inlineStr">
        <is>
          <t>VÄSTMANLANDS LÄN</t>
        </is>
      </c>
      <c r="G174" t="inlineStr">
        <is>
          <t>NORBERG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46236</v>
      </c>
      <c r="F175" t="inlineStr">
        <is>
          <t>VÄSTMANLANDS LÄN</t>
        </is>
      </c>
      <c r="G175" t="inlineStr">
        <is>
          <t>NORBERG</t>
        </is>
      </c>
      <c r="H175" t="inlineStr">
        <is>
          <t>Övriga Aktiebolag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46236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46236</v>
      </c>
      <c r="F177" t="inlineStr">
        <is>
          <t>VÄSTMANLANDS LÄN</t>
        </is>
      </c>
      <c r="G177" t="inlineStr">
        <is>
          <t>NORBERG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63505-2023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45274</v>
      </c>
      <c r="E178" s="1" t="n">
        <v>46236</v>
      </c>
      <c r="F178" t="inlineStr">
        <is>
          <t>VÄSTMANLANDS LÄN</t>
        </is>
      </c>
      <c r="G178" t="inlineStr">
        <is>
          <t>NORBERG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45274</v>
      </c>
      <c r="E179" s="1" t="n">
        <v>46236</v>
      </c>
      <c r="F179" t="inlineStr">
        <is>
          <t>VÄSTMANLANDS LÄN</t>
        </is>
      </c>
      <c r="G179" t="inlineStr">
        <is>
          <t>NORBERG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45769</v>
      </c>
      <c r="E180" s="1" t="n">
        <v>46236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45769</v>
      </c>
      <c r="E181" s="1" t="n">
        <v>46236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46236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46236</v>
      </c>
      <c r="F183" t="inlineStr">
        <is>
          <t>VÄSTMANLANDS LÄN</t>
        </is>
      </c>
      <c r="G183" t="inlineStr">
        <is>
          <t>NORBERG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46236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45882</v>
      </c>
      <c r="E185" s="1" t="n">
        <v>46236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15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38019-2025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45882</v>
      </c>
      <c r="E186" s="1" t="n">
        <v>46236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S 409-2022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44585</v>
      </c>
      <c r="E187" s="1" t="n">
        <v>46236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>
      <c r="A188" t="inlineStr">
        <is>
          <t>S 606-2026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46085</v>
      </c>
      <c r="E188" s="1" t="n">
        <v>46236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26.4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2026-08-02T01:53:03Z</dcterms:created>
  <dcterms:modified xmlns:dcterms="http://purl.org/dc/terms/" xmlns:xsi="http://www.w3.org/2001/XMLSchema-instance" xsi:type="dcterms:W3CDTF">2026-08-02T01:53:03Z</dcterms:modified>
</cp:coreProperties>
</file>