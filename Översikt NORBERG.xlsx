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46222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V2">
        <f>HYPERLINK("https://klasma.github.io/Logging_1962/artfynd/S 135-2026 artfynd.xlsx", "S 135-2026")</f>
        <v/>
      </c>
      <c r="W2">
        <f>HYPERLINK("https://klasma.github.io/Logging_1962/kartor/S 135-2026 karta.png", "S 135-2026")</f>
        <v/>
      </c>
      <c r="Y2">
        <f>HYPERLINK("https://klasma.github.io/Logging_1962/klagomål/S 135-2026 FSC-klagomål.docx", "S 135-2026")</f>
        <v/>
      </c>
      <c r="Z2">
        <f>HYPERLINK("https://klasma.github.io/Logging_1962/klagomålsmail/S 135-2026 FSC-klagomål mail.docx", "S 135-2026")</f>
        <v/>
      </c>
      <c r="AA2">
        <f>HYPERLINK("https://klasma.github.io/Logging_1962/tillsyn/S 135-2026 tillsynsbegäran.docx", "S 135-2026")</f>
        <v/>
      </c>
      <c r="AB2">
        <f>HYPERLINK("https://klasma.github.io/Logging_1962/tillsynsmail/S 135-2026 tillsynsbegäran mail.docx", "S 135-2026")</f>
        <v/>
      </c>
      <c r="AC2">
        <f>HYPERLINK("https://klasma.github.io/Logging_1962/fåglar/S 135-2026 prioriterade fågelarter.docx", "S 135-2026")</f>
        <v/>
      </c>
    </row>
    <row r="3" ht="15" customHeight="1">
      <c r="A3" t="inlineStr">
        <is>
          <t>A 62471-2023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45268</v>
      </c>
      <c r="E3" s="1" t="n">
        <v>46222</v>
      </c>
      <c r="F3" t="inlineStr">
        <is>
          <t>VÄSTMANLANDS LÄN</t>
        </is>
      </c>
      <c r="G3" t="inlineStr">
        <is>
          <t>NORBERG</t>
        </is>
      </c>
      <c r="I3" t="n">
        <v>5.3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5</v>
      </c>
      <c r="U3" s="2" t="inlineStr">
        <is>
          <t>Kryddspindling
Orange taggsvamp
Zontaggsvamp</t>
        </is>
      </c>
      <c r="V3">
        <f>HYPERLINK("https://klasma.github.io/Logging_1962/artfynd/A 62471-2023 artfynd.xlsx", "A 62471-2023")</f>
        <v/>
      </c>
      <c r="W3">
        <f>HYPERLINK("https://klasma.github.io/Logging_1962/kartor/A 62471-2023 karta.png", "A 62471-2023")</f>
        <v/>
      </c>
      <c r="Y3">
        <f>HYPERLINK("https://klasma.github.io/Logging_1962/klagomål/A 62471-2023 FSC-klagomål.docx", "A 62471-2023")</f>
        <v/>
      </c>
      <c r="Z3">
        <f>HYPERLINK("https://klasma.github.io/Logging_1962/klagomålsmail/A 62471-2023 FSC-klagomål mail.docx", "A 62471-2023")</f>
        <v/>
      </c>
      <c r="AA3">
        <f>HYPERLINK("https://klasma.github.io/Logging_1962/tillsyn/A 62471-2023 tillsynsbegäran.docx", "A 62471-2023")</f>
        <v/>
      </c>
      <c r="AB3">
        <f>HYPERLINK("https://klasma.github.io/Logging_1962/tillsynsmail/A 62471-2023 tillsynsbegäran mail.docx", "A 62471-2023")</f>
        <v/>
      </c>
    </row>
    <row r="4" ht="15" customHeight="1">
      <c r="A4" t="inlineStr">
        <is>
          <t>A 55711-2024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45622</v>
      </c>
      <c r="E4" s="1" t="n">
        <v>46222</v>
      </c>
      <c r="F4" t="inlineStr">
        <is>
          <t>VÄSTMANLANDS LÄN</t>
        </is>
      </c>
      <c r="G4" t="inlineStr">
        <is>
          <t>NORBERG</t>
        </is>
      </c>
      <c r="I4" t="n">
        <v>2.5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Persiljespindling
Skogsknipprot</t>
        </is>
      </c>
      <c r="V4">
        <f>HYPERLINK("https://klasma.github.io/Logging_1962/artfynd/A 55711-2024 artfynd.xlsx", "A 55711-2024")</f>
        <v/>
      </c>
      <c r="W4">
        <f>HYPERLINK("https://klasma.github.io/Logging_1962/kartor/A 55711-2024 karta.png", "A 55711-2024")</f>
        <v/>
      </c>
      <c r="Y4">
        <f>HYPERLINK("https://klasma.github.io/Logging_1962/klagomål/A 55711-2024 FSC-klagomål.docx", "A 55711-2024")</f>
        <v/>
      </c>
      <c r="Z4">
        <f>HYPERLINK("https://klasma.github.io/Logging_1962/klagomålsmail/A 55711-2024 FSC-klagomål mail.docx", "A 55711-2024")</f>
        <v/>
      </c>
      <c r="AA4">
        <f>HYPERLINK("https://klasma.github.io/Logging_1962/tillsyn/A 55711-2024 tillsynsbegäran.docx", "A 55711-2024")</f>
        <v/>
      </c>
      <c r="AB4">
        <f>HYPERLINK("https://klasma.github.io/Logging_1962/tillsynsmail/A 55711-2024 tillsynsbegäran mail.docx", "A 55711-2024")</f>
        <v/>
      </c>
    </row>
    <row r="5" ht="15" customHeight="1">
      <c r="A5" t="inlineStr">
        <is>
          <t>A 15262-2026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46105</v>
      </c>
      <c r="E5" s="1" t="n">
        <v>46222</v>
      </c>
      <c r="F5" t="inlineStr">
        <is>
          <t>VÄSTMANLANDS LÄN</t>
        </is>
      </c>
      <c r="G5" t="inlineStr">
        <is>
          <t>NORBERG</t>
        </is>
      </c>
      <c r="I5" t="n">
        <v>2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s="2" t="inlineStr">
        <is>
          <t>Brunklöver
Tvåblad</t>
        </is>
      </c>
      <c r="V5">
        <f>HYPERLINK("https://klasma.github.io/Logging_1962/artfynd/A 15262-2026 artfynd.xlsx", "A 15262-2026")</f>
        <v/>
      </c>
      <c r="W5">
        <f>HYPERLINK("https://klasma.github.io/Logging_1962/kartor/A 15262-2026 karta.png", "A 15262-2026")</f>
        <v/>
      </c>
      <c r="Y5">
        <f>HYPERLINK("https://klasma.github.io/Logging_1962/klagomål/A 15262-2026 FSC-klagomål.docx", "A 15262-2026")</f>
        <v/>
      </c>
      <c r="Z5">
        <f>HYPERLINK("https://klasma.github.io/Logging_1962/klagomålsmail/A 15262-2026 FSC-klagomål mail.docx", "A 15262-2026")</f>
        <v/>
      </c>
      <c r="AA5">
        <f>HYPERLINK("https://klasma.github.io/Logging_1962/tillsyn/A 15262-2026 tillsynsbegäran.docx", "A 15262-2026")</f>
        <v/>
      </c>
      <c r="AB5">
        <f>HYPERLINK("https://klasma.github.io/Logging_1962/tillsynsmail/A 15262-2026 tillsynsbegäran mail.docx", "A 15262-2026")</f>
        <v/>
      </c>
    </row>
    <row r="6" ht="15" customHeight="1">
      <c r="A6" t="inlineStr">
        <is>
          <t>A 33377-2023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45128</v>
      </c>
      <c r="E6" s="1" t="n">
        <v>46222</v>
      </c>
      <c r="F6" t="inlineStr">
        <is>
          <t>VÄSTMANLANDS LÄN</t>
        </is>
      </c>
      <c r="G6" t="inlineStr">
        <is>
          <t>NORBERG</t>
        </is>
      </c>
      <c r="H6" t="inlineStr">
        <is>
          <t>Sveaskog</t>
        </is>
      </c>
      <c r="I6" t="n">
        <v>1.7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2</v>
      </c>
      <c r="T6" t="n">
        <v>2</v>
      </c>
      <c r="U6" s="2" t="inlineStr">
        <is>
          <t>Gul taggsvamp
Dofttaggsvamp</t>
        </is>
      </c>
      <c r="V6">
        <f>HYPERLINK("https://klasma.github.io/Logging_1962/artfynd/A 33377-2023 artfynd.xlsx", "A 33377-2023")</f>
        <v/>
      </c>
      <c r="W6">
        <f>HYPERLINK("https://klasma.github.io/Logging_1962/kartor/A 33377-2023 karta.png", "A 33377-2023")</f>
        <v/>
      </c>
      <c r="Y6">
        <f>HYPERLINK("https://klasma.github.io/Logging_1962/klagomål/A 33377-2023 FSC-klagomål.docx", "A 33377-2023")</f>
        <v/>
      </c>
      <c r="Z6">
        <f>HYPERLINK("https://klasma.github.io/Logging_1962/klagomålsmail/A 33377-2023 FSC-klagomål mail.docx", "A 33377-2023")</f>
        <v/>
      </c>
      <c r="AA6">
        <f>HYPERLINK("https://klasma.github.io/Logging_1962/tillsyn/A 33377-2023 tillsynsbegäran.docx", "A 33377-2023")</f>
        <v/>
      </c>
      <c r="AB6">
        <f>HYPERLINK("https://klasma.github.io/Logging_1962/tillsynsmail/A 33377-2023 tillsynsbegäran mail.docx", "A 33377-2023")</f>
        <v/>
      </c>
    </row>
    <row r="7" ht="15" customHeight="1">
      <c r="A7" t="inlineStr">
        <is>
          <t>A 9872-2022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44620</v>
      </c>
      <c r="E7" s="1" t="n">
        <v>46222</v>
      </c>
      <c r="F7" t="inlineStr">
        <is>
          <t>VÄSTMANLANDS LÄN</t>
        </is>
      </c>
      <c r="G7" t="inlineStr">
        <is>
          <t>NORBERG</t>
        </is>
      </c>
      <c r="I7" t="n">
        <v>0.7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Mindre vattensalamander</t>
        </is>
      </c>
      <c r="V7">
        <f>HYPERLINK("https://klasma.github.io/Logging_1962/artfynd/A 9872-2022 artfynd.xlsx", "A 9872-2022")</f>
        <v/>
      </c>
      <c r="W7">
        <f>HYPERLINK("https://klasma.github.io/Logging_1962/kartor/A 9872-2022 karta.png", "A 9872-2022")</f>
        <v/>
      </c>
      <c r="Y7">
        <f>HYPERLINK("https://klasma.github.io/Logging_1962/klagomål/A 9872-2022 FSC-klagomål.docx", "A 9872-2022")</f>
        <v/>
      </c>
      <c r="Z7">
        <f>HYPERLINK("https://klasma.github.io/Logging_1962/klagomålsmail/A 9872-2022 FSC-klagomål mail.docx", "A 9872-2022")</f>
        <v/>
      </c>
      <c r="AA7">
        <f>HYPERLINK("https://klasma.github.io/Logging_1962/tillsyn/A 9872-2022 tillsynsbegäran.docx", "A 9872-2022")</f>
        <v/>
      </c>
      <c r="AB7">
        <f>HYPERLINK("https://klasma.github.io/Logging_1962/tillsynsmail/A 9872-2022 tillsynsbegäran mail.docx", "A 9872-2022")</f>
        <v/>
      </c>
    </row>
    <row r="8" ht="15" customHeight="1">
      <c r="A8" t="inlineStr">
        <is>
          <t>A 20257-2025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45773</v>
      </c>
      <c r="E8" s="1" t="n">
        <v>46222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Plattlummer</t>
        </is>
      </c>
      <c r="V8">
        <f>HYPERLINK("https://klasma.github.io/Logging_1962/artfynd/A 20257-2025 artfynd.xlsx", "A 20257-2025")</f>
        <v/>
      </c>
      <c r="W8">
        <f>HYPERLINK("https://klasma.github.io/Logging_1962/kartor/A 20257-2025 karta.png", "A 20257-2025")</f>
        <v/>
      </c>
      <c r="Y8">
        <f>HYPERLINK("https://klasma.github.io/Logging_1962/klagomål/A 20257-2025 FSC-klagomål.docx", "A 20257-2025")</f>
        <v/>
      </c>
      <c r="Z8">
        <f>HYPERLINK("https://klasma.github.io/Logging_1962/klagomålsmail/A 20257-2025 FSC-klagomål mail.docx", "A 20257-2025")</f>
        <v/>
      </c>
      <c r="AA8">
        <f>HYPERLINK("https://klasma.github.io/Logging_1962/tillsyn/A 20257-2025 tillsynsbegäran.docx", "A 20257-2025")</f>
        <v/>
      </c>
      <c r="AB8">
        <f>HYPERLINK("https://klasma.github.io/Logging_1962/tillsynsmail/A 20257-2025 tillsynsbegäran mail.docx", "A 20257-2025")</f>
        <v/>
      </c>
    </row>
    <row r="9" ht="15" customHeight="1">
      <c r="A9" t="inlineStr">
        <is>
          <t>A 52063-2022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44873</v>
      </c>
      <c r="E9" s="1" t="n">
        <v>46222</v>
      </c>
      <c r="F9" t="inlineStr">
        <is>
          <t>VÄSTMANLANDS LÄN</t>
        </is>
      </c>
      <c r="G9" t="inlineStr">
        <is>
          <t>NORBERG</t>
        </is>
      </c>
      <c r="I9" t="n">
        <v>0.8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Blåsippa</t>
        </is>
      </c>
      <c r="V9">
        <f>HYPERLINK("https://klasma.github.io/Logging_1962/artfynd/A 52063-2022 artfynd.xlsx", "A 52063-2022")</f>
        <v/>
      </c>
      <c r="W9">
        <f>HYPERLINK("https://klasma.github.io/Logging_1962/kartor/A 52063-2022 karta.png", "A 52063-2022")</f>
        <v/>
      </c>
      <c r="Y9">
        <f>HYPERLINK("https://klasma.github.io/Logging_1962/klagomål/A 52063-2022 FSC-klagomål.docx", "A 52063-2022")</f>
        <v/>
      </c>
      <c r="Z9">
        <f>HYPERLINK("https://klasma.github.io/Logging_1962/klagomålsmail/A 52063-2022 FSC-klagomål mail.docx", "A 52063-2022")</f>
        <v/>
      </c>
      <c r="AA9">
        <f>HYPERLINK("https://klasma.github.io/Logging_1962/tillsyn/A 52063-2022 tillsynsbegäran.docx", "A 52063-2022")</f>
        <v/>
      </c>
      <c r="AB9">
        <f>HYPERLINK("https://klasma.github.io/Logging_1962/tillsynsmail/A 52063-2022 tillsynsbegäran mail.docx", "A 52063-2022")</f>
        <v/>
      </c>
    </row>
    <row r="10" ht="15" customHeight="1">
      <c r="A10" t="inlineStr">
        <is>
          <t>A 38017-2025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45882</v>
      </c>
      <c r="E10" s="1" t="n">
        <v>46222</v>
      </c>
      <c r="F10" t="inlineStr">
        <is>
          <t>VÄSTMANLANDS LÄN</t>
        </is>
      </c>
      <c r="G10" t="inlineStr">
        <is>
          <t>NORBERG</t>
        </is>
      </c>
      <c r="H10" t="inlineStr">
        <is>
          <t>Övriga Aktiebolag</t>
        </is>
      </c>
      <c r="I10" t="n">
        <v>15.5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Ask</t>
        </is>
      </c>
      <c r="V10">
        <f>HYPERLINK("https://klasma.github.io/Logging_1962/artfynd/A 38017-2025 artfynd.xlsx", "A 38017-2025")</f>
        <v/>
      </c>
      <c r="W10">
        <f>HYPERLINK("https://klasma.github.io/Logging_1962/kartor/A 38017-2025 karta.png", "A 38017-2025")</f>
        <v/>
      </c>
      <c r="Y10">
        <f>HYPERLINK("https://klasma.github.io/Logging_1962/klagomål/A 38017-2025 FSC-klagomål.docx", "A 38017-2025")</f>
        <v/>
      </c>
      <c r="Z10">
        <f>HYPERLINK("https://klasma.github.io/Logging_1962/klagomålsmail/A 38017-2025 FSC-klagomål mail.docx", "A 38017-2025")</f>
        <v/>
      </c>
      <c r="AA10">
        <f>HYPERLINK("https://klasma.github.io/Logging_1962/tillsyn/A 38017-2025 tillsynsbegäran.docx", "A 38017-2025")</f>
        <v/>
      </c>
      <c r="AB10">
        <f>HYPERLINK("https://klasma.github.io/Logging_1962/tillsynsmail/A 38017-2025 tillsynsbegäran mail.docx", "A 38017-2025")</f>
        <v/>
      </c>
    </row>
    <row r="11" ht="15" customHeight="1">
      <c r="A11" t="inlineStr">
        <is>
          <t>A 34967-2023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45142</v>
      </c>
      <c r="E11" s="1" t="n">
        <v>46222</v>
      </c>
      <c r="F11" t="inlineStr">
        <is>
          <t>VÄSTMANLANDS LÄN</t>
        </is>
      </c>
      <c r="G11" t="inlineStr">
        <is>
          <t>NORBERG</t>
        </is>
      </c>
      <c r="H11" t="inlineStr">
        <is>
          <t>Kyrkan</t>
        </is>
      </c>
      <c r="I11" t="n">
        <v>0.6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Skogsklocka</t>
        </is>
      </c>
      <c r="V11">
        <f>HYPERLINK("https://klasma.github.io/Logging_1962/artfynd/A 34967-2023 artfynd.xlsx", "A 34967-2023")</f>
        <v/>
      </c>
      <c r="W11">
        <f>HYPERLINK("https://klasma.github.io/Logging_1962/kartor/A 34967-2023 karta.png", "A 34967-2023")</f>
        <v/>
      </c>
      <c r="Y11">
        <f>HYPERLINK("https://klasma.github.io/Logging_1962/klagomål/A 34967-2023 FSC-klagomål.docx", "A 34967-2023")</f>
        <v/>
      </c>
      <c r="Z11">
        <f>HYPERLINK("https://klasma.github.io/Logging_1962/klagomålsmail/A 34967-2023 FSC-klagomål mail.docx", "A 34967-2023")</f>
        <v/>
      </c>
      <c r="AA11">
        <f>HYPERLINK("https://klasma.github.io/Logging_1962/tillsyn/A 34967-2023 tillsynsbegäran.docx", "A 34967-2023")</f>
        <v/>
      </c>
      <c r="AB11">
        <f>HYPERLINK("https://klasma.github.io/Logging_1962/tillsynsmail/A 34967-2023 tillsynsbegäran mail.docx", "A 34967-2023")</f>
        <v/>
      </c>
    </row>
    <row r="12" ht="15" customHeight="1">
      <c r="A12" t="inlineStr">
        <is>
          <t>A 56936-2021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44480</v>
      </c>
      <c r="E12" s="1" t="n">
        <v>46222</v>
      </c>
      <c r="F12" t="inlineStr">
        <is>
          <t>VÄSTMANLANDS LÄN</t>
        </is>
      </c>
      <c r="G12" t="inlineStr">
        <is>
          <t>NORBERG</t>
        </is>
      </c>
      <c r="I12" t="n">
        <v>2.4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Blåsippa</t>
        </is>
      </c>
      <c r="V12">
        <f>HYPERLINK("https://klasma.github.io/Logging_1962/artfynd/A 56936-2021 artfynd.xlsx", "A 56936-2021")</f>
        <v/>
      </c>
      <c r="W12">
        <f>HYPERLINK("https://klasma.github.io/Logging_1962/kartor/A 56936-2021 karta.png", "A 56936-2021")</f>
        <v/>
      </c>
      <c r="Y12">
        <f>HYPERLINK("https://klasma.github.io/Logging_1962/klagomål/A 56936-2021 FSC-klagomål.docx", "A 56936-2021")</f>
        <v/>
      </c>
      <c r="Z12">
        <f>HYPERLINK("https://klasma.github.io/Logging_1962/klagomålsmail/A 56936-2021 FSC-klagomål mail.docx", "A 56936-2021")</f>
        <v/>
      </c>
      <c r="AA12">
        <f>HYPERLINK("https://klasma.github.io/Logging_1962/tillsyn/A 56936-2021 tillsynsbegäran.docx", "A 56936-2021")</f>
        <v/>
      </c>
      <c r="AB12">
        <f>HYPERLINK("https://klasma.github.io/Logging_1962/tillsynsmail/A 56936-2021 tillsynsbegäran mail.docx", "A 56936-2021")</f>
        <v/>
      </c>
    </row>
    <row r="13" ht="15" customHeight="1">
      <c r="A13" t="inlineStr">
        <is>
          <t>A 18464-2025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45762</v>
      </c>
      <c r="E13" s="1" t="n">
        <v>46222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s="2" t="inlineStr">
        <is>
          <t>Skogsknipprot</t>
        </is>
      </c>
      <c r="V13">
        <f>HYPERLINK("https://klasma.github.io/Logging_1962/artfynd/A 18464-2025 artfynd.xlsx", "A 18464-2025")</f>
        <v/>
      </c>
      <c r="W13">
        <f>HYPERLINK("https://klasma.github.io/Logging_1962/kartor/A 18464-2025 karta.png", "A 18464-2025")</f>
        <v/>
      </c>
      <c r="Y13">
        <f>HYPERLINK("https://klasma.github.io/Logging_1962/klagomål/A 18464-2025 FSC-klagomål.docx", "A 18464-2025")</f>
        <v/>
      </c>
      <c r="Z13">
        <f>HYPERLINK("https://klasma.github.io/Logging_1962/klagomålsmail/A 18464-2025 FSC-klagomål mail.docx", "A 18464-2025")</f>
        <v/>
      </c>
      <c r="AA13">
        <f>HYPERLINK("https://klasma.github.io/Logging_1962/tillsyn/A 18464-2025 tillsynsbegäran.docx", "A 18464-2025")</f>
        <v/>
      </c>
      <c r="AB13">
        <f>HYPERLINK("https://klasma.github.io/Logging_1962/tillsynsmail/A 18464-2025 tillsynsbegäran mail.docx", "A 18464-2025")</f>
        <v/>
      </c>
    </row>
    <row r="14" ht="15" customHeight="1">
      <c r="A14" t="inlineStr">
        <is>
          <t>A 15107-2025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45744</v>
      </c>
      <c r="E14" s="1" t="n">
        <v>46222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0.9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Blåsippa</t>
        </is>
      </c>
      <c r="V14">
        <f>HYPERLINK("https://klasma.github.io/Logging_1962/artfynd/A 15107-2025 artfynd.xlsx", "A 15107-2025")</f>
        <v/>
      </c>
      <c r="W14">
        <f>HYPERLINK("https://klasma.github.io/Logging_1962/kartor/A 15107-2025 karta.png", "A 15107-2025")</f>
        <v/>
      </c>
      <c r="Y14">
        <f>HYPERLINK("https://klasma.github.io/Logging_1962/klagomål/A 15107-2025 FSC-klagomål.docx", "A 15107-2025")</f>
        <v/>
      </c>
      <c r="Z14">
        <f>HYPERLINK("https://klasma.github.io/Logging_1962/klagomålsmail/A 15107-2025 FSC-klagomål mail.docx", "A 15107-2025")</f>
        <v/>
      </c>
      <c r="AA14">
        <f>HYPERLINK("https://klasma.github.io/Logging_1962/tillsyn/A 15107-2025 tillsynsbegäran.docx", "A 15107-2025")</f>
        <v/>
      </c>
      <c r="AB14">
        <f>HYPERLINK("https://klasma.github.io/Logging_1962/tillsynsmail/A 15107-2025 tillsynsbegäran mail.docx", "A 15107-2025")</f>
        <v/>
      </c>
    </row>
    <row r="15" ht="15" customHeight="1">
      <c r="A15" t="inlineStr">
        <is>
          <t>A 28307-2026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46196</v>
      </c>
      <c r="E15" s="1" t="n">
        <v>46222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2.4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Plattlummer</t>
        </is>
      </c>
      <c r="V15">
        <f>HYPERLINK("https://klasma.github.io/Logging_1962/artfynd/A 28307-2026 artfynd.xlsx", "A 28307-2026")</f>
        <v/>
      </c>
      <c r="W15">
        <f>HYPERLINK("https://klasma.github.io/Logging_1962/kartor/A 28307-2026 karta.png", "A 28307-2026")</f>
        <v/>
      </c>
      <c r="Y15">
        <f>HYPERLINK("https://klasma.github.io/Logging_1962/klagomål/A 28307-2026 FSC-klagomål.docx", "A 28307-2026")</f>
        <v/>
      </c>
      <c r="Z15">
        <f>HYPERLINK("https://klasma.github.io/Logging_1962/klagomålsmail/A 28307-2026 FSC-klagomål mail.docx", "A 28307-2026")</f>
        <v/>
      </c>
      <c r="AA15">
        <f>HYPERLINK("https://klasma.github.io/Logging_1962/tillsyn/A 28307-2026 tillsynsbegäran.docx", "A 28307-2026")</f>
        <v/>
      </c>
      <c r="AB15">
        <f>HYPERLINK("https://klasma.github.io/Logging_1962/tillsynsmail/A 28307-2026 tillsynsbegäran mail.docx", "A 28307-2026")</f>
        <v/>
      </c>
    </row>
    <row r="16" ht="15" customHeight="1">
      <c r="A16" t="inlineStr">
        <is>
          <t>A 61099-2024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45644</v>
      </c>
      <c r="E16" s="1" t="n">
        <v>46222</v>
      </c>
      <c r="F16" t="inlineStr">
        <is>
          <t>VÄSTMANLANDS LÄN</t>
        </is>
      </c>
      <c r="G16" t="inlineStr">
        <is>
          <t>NORBERG</t>
        </is>
      </c>
      <c r="I16" t="n">
        <v>0.4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HYPERLINK("https://klasma.github.io/Logging_1962/artfynd/A 61099-2024 artfynd.xlsx", "A 61099-2024")</f>
        <v/>
      </c>
      <c r="W16">
        <f>HYPERLINK("https://klasma.github.io/Logging_1962/kartor/A 61099-2024 karta.png", "A 61099-2024")</f>
        <v/>
      </c>
      <c r="Y16">
        <f>HYPERLINK("https://klasma.github.io/Logging_1962/klagomål/A 61099-2024 FSC-klagomål.docx", "A 61099-2024")</f>
        <v/>
      </c>
      <c r="Z16">
        <f>HYPERLINK("https://klasma.github.io/Logging_1962/klagomålsmail/A 61099-2024 FSC-klagomål mail.docx", "A 61099-2024")</f>
        <v/>
      </c>
      <c r="AA16">
        <f>HYPERLINK("https://klasma.github.io/Logging_1962/tillsyn/A 61099-2024 tillsynsbegäran.docx", "A 61099-2024")</f>
        <v/>
      </c>
      <c r="AB16">
        <f>HYPERLINK("https://klasma.github.io/Logging_1962/tillsynsmail/A 61099-2024 tillsynsbegäran mail.docx", "A 61099-2024")</f>
        <v/>
      </c>
    </row>
    <row r="17" ht="15" customHeight="1">
      <c r="A17" t="inlineStr">
        <is>
          <t>S 4857-2024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45608</v>
      </c>
      <c r="E17" s="1" t="n">
        <v>46222</v>
      </c>
      <c r="F17" t="inlineStr">
        <is>
          <t>VÄSTMANLANDS LÄN</t>
        </is>
      </c>
      <c r="G17" t="inlineStr">
        <is>
          <t>NORBERG</t>
        </is>
      </c>
      <c r="I17" t="n">
        <v>79.3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Nordfladdermus</t>
        </is>
      </c>
      <c r="V17">
        <f>HYPERLINK("https://klasma.github.io/Logging_1962/artfynd/S 4857-2024 artfynd.xlsx", "S 4857-2024")</f>
        <v/>
      </c>
      <c r="W17">
        <f>HYPERLINK("https://klasma.github.io/Logging_1962/kartor/S 4857-2024 karta.png", "S 4857-2024")</f>
        <v/>
      </c>
      <c r="Y17">
        <f>HYPERLINK("https://klasma.github.io/Logging_1962/klagomål/S 4857-2024 FSC-klagomål.docx", "S 4857-2024")</f>
        <v/>
      </c>
      <c r="Z17">
        <f>HYPERLINK("https://klasma.github.io/Logging_1962/klagomålsmail/S 4857-2024 FSC-klagomål mail.docx", "S 4857-2024")</f>
        <v/>
      </c>
      <c r="AA17">
        <f>HYPERLINK("https://klasma.github.io/Logging_1962/tillsyn/S 4857-2024 tillsynsbegäran.docx", "S 4857-2024")</f>
        <v/>
      </c>
      <c r="AB17">
        <f>HYPERLINK("https://klasma.github.io/Logging_1962/tillsynsmail/S 4857-2024 tillsynsbegäran mail.docx", "S 4857-2024")</f>
        <v/>
      </c>
    </row>
    <row r="18" ht="15" customHeight="1">
      <c r="A18" t="inlineStr">
        <is>
          <t>S 920-2025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45737</v>
      </c>
      <c r="E18" s="1" t="n">
        <v>46222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Lopplummer (aggregat)</t>
        </is>
      </c>
      <c r="V18">
        <f>HYPERLINK("https://klasma.github.io/Logging_1962/artfynd/S 920-2025 artfynd.xlsx", "S 920-2025")</f>
        <v/>
      </c>
      <c r="W18">
        <f>HYPERLINK("https://klasma.github.io/Logging_1962/kartor/S 920-2025 karta.png", "S 920-2025")</f>
        <v/>
      </c>
      <c r="Y18">
        <f>HYPERLINK("https://klasma.github.io/Logging_1962/klagomål/S 920-2025 FSC-klagomål.docx", "S 920-2025")</f>
        <v/>
      </c>
      <c r="Z18">
        <f>HYPERLINK("https://klasma.github.io/Logging_1962/klagomålsmail/S 920-2025 FSC-klagomål mail.docx", "S 920-2025")</f>
        <v/>
      </c>
      <c r="AA18">
        <f>HYPERLINK("https://klasma.github.io/Logging_1962/tillsyn/S 920-2025 tillsynsbegäran.docx", "S 920-2025")</f>
        <v/>
      </c>
      <c r="AB18">
        <f>HYPERLINK("https://klasma.github.io/Logging_1962/tillsynsmail/S 920-2025 tillsynsbegäran mail.docx", "S 920-2025")</f>
        <v/>
      </c>
    </row>
    <row r="19" ht="15" customHeight="1">
      <c r="A19" t="inlineStr">
        <is>
          <t>A 45929-2021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44441</v>
      </c>
      <c r="E19" s="1" t="n">
        <v>46222</v>
      </c>
      <c r="F19" t="inlineStr">
        <is>
          <t>VÄSTMANLANDS LÄN</t>
        </is>
      </c>
      <c r="G19" t="inlineStr">
        <is>
          <t>NORBERG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51415-2022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44869</v>
      </c>
      <c r="E20" s="1" t="n">
        <v>46222</v>
      </c>
      <c r="F20" t="inlineStr">
        <is>
          <t>VÄSTMANLANDS LÄN</t>
        </is>
      </c>
      <c r="G20" t="inlineStr">
        <is>
          <t>NORBERG</t>
        </is>
      </c>
      <c r="H20" t="inlineStr">
        <is>
          <t>Övriga Aktiebolag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49143-2022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44860</v>
      </c>
      <c r="E21" s="1" t="n">
        <v>46222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49163-2022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46222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44016-2022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44838</v>
      </c>
      <c r="E23" s="1" t="n">
        <v>46222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7.2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52076-2022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44873</v>
      </c>
      <c r="E24" s="1" t="n">
        <v>46222</v>
      </c>
      <c r="F24" t="inlineStr">
        <is>
          <t>VÄSTMANLANDS LÄN</t>
        </is>
      </c>
      <c r="G24" t="inlineStr">
        <is>
          <t>NORBERG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48544-2021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44452</v>
      </c>
      <c r="E25" s="1" t="n">
        <v>46222</v>
      </c>
      <c r="F25" t="inlineStr">
        <is>
          <t>VÄSTMANLANDS LÄN</t>
        </is>
      </c>
      <c r="G25" t="inlineStr">
        <is>
          <t>NORBERG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45934-2021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44441</v>
      </c>
      <c r="E26" s="1" t="n">
        <v>46222</v>
      </c>
      <c r="F26" t="inlineStr">
        <is>
          <t>VÄSTMANLANDS LÄN</t>
        </is>
      </c>
      <c r="G26" t="inlineStr">
        <is>
          <t>NORBERG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6353-2022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46222</v>
      </c>
      <c r="F27" t="inlineStr">
        <is>
          <t>VÄSTMANLANDS LÄN</t>
        </is>
      </c>
      <c r="G27" t="inlineStr">
        <is>
          <t>NORBERG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45213-2022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44844</v>
      </c>
      <c r="E28" s="1" t="n">
        <v>46222</v>
      </c>
      <c r="F28" t="inlineStr">
        <is>
          <t>VÄSTMANLANDS LÄN</t>
        </is>
      </c>
      <c r="G28" t="inlineStr">
        <is>
          <t>NORBERG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47607-2022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46222</v>
      </c>
      <c r="F29" t="inlineStr">
        <is>
          <t>VÄSTMANLANDS LÄN</t>
        </is>
      </c>
      <c r="G29" t="inlineStr">
        <is>
          <t>NORBERG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44015-2022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44838</v>
      </c>
      <c r="E30" s="1" t="n">
        <v>46222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9875-2022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46222</v>
      </c>
      <c r="F31" t="inlineStr">
        <is>
          <t>VÄSTMANLANDS LÄN</t>
        </is>
      </c>
      <c r="G31" t="inlineStr">
        <is>
          <t>NORBERG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46641-2022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44849</v>
      </c>
      <c r="E32" s="1" t="n">
        <v>46222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4.6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56929-2021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44480</v>
      </c>
      <c r="E33" s="1" t="n">
        <v>46222</v>
      </c>
      <c r="F33" t="inlineStr">
        <is>
          <t>VÄSTMANLANDS LÄN</t>
        </is>
      </c>
      <c r="G33" t="inlineStr">
        <is>
          <t>NORBERG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48143-2021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46222</v>
      </c>
      <c r="F34" t="inlineStr">
        <is>
          <t>VÄSTMANLANDS LÄN</t>
        </is>
      </c>
      <c r="G34" t="inlineStr">
        <is>
          <t>NORBERG</t>
        </is>
      </c>
      <c r="H34" t="inlineStr">
        <is>
          <t>Bergvik skog väst AB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47599-2022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46222</v>
      </c>
      <c r="F35" t="inlineStr">
        <is>
          <t>VÄSTMANLANDS LÄN</t>
        </is>
      </c>
      <c r="G35" t="inlineStr">
        <is>
          <t>NORBERG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42504-2022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44831</v>
      </c>
      <c r="E36" s="1" t="n">
        <v>46222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42505-2022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46222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12233-2022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44635</v>
      </c>
      <c r="E38" s="1" t="n">
        <v>46222</v>
      </c>
      <c r="F38" t="inlineStr">
        <is>
          <t>VÄSTMANLANDS LÄN</t>
        </is>
      </c>
      <c r="G38" t="inlineStr">
        <is>
          <t>NORBERG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2312-2022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44578</v>
      </c>
      <c r="E39" s="1" t="n">
        <v>46222</v>
      </c>
      <c r="F39" t="inlineStr">
        <is>
          <t>VÄSTMANLANDS LÄN</t>
        </is>
      </c>
      <c r="G39" t="inlineStr">
        <is>
          <t>NORBERG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67361-2021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44523</v>
      </c>
      <c r="E40" s="1" t="n">
        <v>46222</v>
      </c>
      <c r="F40" t="inlineStr">
        <is>
          <t>VÄSTMANLANDS LÄN</t>
        </is>
      </c>
      <c r="G40" t="inlineStr">
        <is>
          <t>NORBERG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15890-2024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45405</v>
      </c>
      <c r="E41" s="1" t="n">
        <v>46222</v>
      </c>
      <c r="F41" t="inlineStr">
        <is>
          <t>VÄSTMANLANDS LÄN</t>
        </is>
      </c>
      <c r="G41" t="inlineStr">
        <is>
          <t>NORBERG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67356-2021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44523</v>
      </c>
      <c r="E42" s="1" t="n">
        <v>46222</v>
      </c>
      <c r="F42" t="inlineStr">
        <is>
          <t>VÄSTMANLANDS LÄN</t>
        </is>
      </c>
      <c r="G42" t="inlineStr">
        <is>
          <t>NORBERG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50124-2022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44860</v>
      </c>
      <c r="E43" s="1" t="n">
        <v>46222</v>
      </c>
      <c r="F43" t="inlineStr">
        <is>
          <t>VÄSTMANLANDS LÄN</t>
        </is>
      </c>
      <c r="G43" t="inlineStr">
        <is>
          <t>NORBERG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27589-2024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45474</v>
      </c>
      <c r="E44" s="1" t="n">
        <v>46222</v>
      </c>
      <c r="F44" t="inlineStr">
        <is>
          <t>VÄSTMANLANDS LÄN</t>
        </is>
      </c>
      <c r="G44" t="inlineStr">
        <is>
          <t>NORBERG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18128-2024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45420</v>
      </c>
      <c r="E45" s="1" t="n">
        <v>46222</v>
      </c>
      <c r="F45" t="inlineStr">
        <is>
          <t>VÄSTMANLANDS LÄN</t>
        </is>
      </c>
      <c r="G45" t="inlineStr">
        <is>
          <t>NORBERG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36905-2023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45154</v>
      </c>
      <c r="E46" s="1" t="n">
        <v>46222</v>
      </c>
      <c r="F46" t="inlineStr">
        <is>
          <t>VÄSTMANLANDS LÄN</t>
        </is>
      </c>
      <c r="G46" t="inlineStr">
        <is>
          <t>NORBERG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40144-2023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46222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8746-2023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46222</v>
      </c>
      <c r="F48" t="inlineStr">
        <is>
          <t>VÄSTMANLANDS LÄN</t>
        </is>
      </c>
      <c r="G48" t="inlineStr">
        <is>
          <t>NORBERG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3587-2024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45320</v>
      </c>
      <c r="E49" s="1" t="n">
        <v>46222</v>
      </c>
      <c r="F49" t="inlineStr">
        <is>
          <t>VÄSTMANLANDS LÄN</t>
        </is>
      </c>
      <c r="G49" t="inlineStr">
        <is>
          <t>NORBERG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25477-2023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46222</v>
      </c>
      <c r="F50" t="inlineStr">
        <is>
          <t>VÄSTMANLANDS LÄN</t>
        </is>
      </c>
      <c r="G50" t="inlineStr">
        <is>
          <t>NORBERG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20378-2023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45056</v>
      </c>
      <c r="E51" s="1" t="n">
        <v>46222</v>
      </c>
      <c r="F51" t="inlineStr">
        <is>
          <t>VÄSTMANLANDS LÄN</t>
        </is>
      </c>
      <c r="G51" t="inlineStr">
        <is>
          <t>NORBERG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16629-2024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45408</v>
      </c>
      <c r="E52" s="1" t="n">
        <v>46222</v>
      </c>
      <c r="F52" t="inlineStr">
        <is>
          <t>VÄSTMANLANDS LÄN</t>
        </is>
      </c>
      <c r="G52" t="inlineStr">
        <is>
          <t>NORBERG</t>
        </is>
      </c>
      <c r="H52" t="inlineStr">
        <is>
          <t>Sveaskog</t>
        </is>
      </c>
      <c r="I52" t="n">
        <v>8.800000000000001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16042-2024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45405</v>
      </c>
      <c r="E53" s="1" t="n">
        <v>46222</v>
      </c>
      <c r="F53" t="inlineStr">
        <is>
          <t>VÄSTMANLANDS LÄN</t>
        </is>
      </c>
      <c r="G53" t="inlineStr">
        <is>
          <t>NORBERG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37200-2023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45155</v>
      </c>
      <c r="E54" s="1" t="n">
        <v>46222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4887-2026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46045</v>
      </c>
      <c r="E55" s="1" t="n">
        <v>46222</v>
      </c>
      <c r="F55" t="inlineStr">
        <is>
          <t>VÄSTMANLANDS LÄN</t>
        </is>
      </c>
      <c r="G55" t="inlineStr">
        <is>
          <t>NORBERG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29620-2025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46222</v>
      </c>
      <c r="F56" t="inlineStr">
        <is>
          <t>VÄSTMANLANDS LÄN</t>
        </is>
      </c>
      <c r="G56" t="inlineStr">
        <is>
          <t>NORBERG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30211-2025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45827</v>
      </c>
      <c r="E57" s="1" t="n">
        <v>46222</v>
      </c>
      <c r="F57" t="inlineStr">
        <is>
          <t>VÄSTMANLANDS LÄN</t>
        </is>
      </c>
      <c r="G57" t="inlineStr">
        <is>
          <t>NORBERG</t>
        </is>
      </c>
      <c r="H57" t="inlineStr">
        <is>
          <t>Övriga Aktiebolag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7744-2023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46222</v>
      </c>
      <c r="F58" t="inlineStr">
        <is>
          <t>VÄSTMANLANDS LÄN</t>
        </is>
      </c>
      <c r="G58" t="inlineStr">
        <is>
          <t>NORBERG</t>
        </is>
      </c>
      <c r="H58" t="inlineStr">
        <is>
          <t>Övriga Aktiebolag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46222</v>
      </c>
      <c r="F59" t="inlineStr">
        <is>
          <t>VÄSTMANLANDS LÄN</t>
        </is>
      </c>
      <c r="G59" t="inlineStr">
        <is>
          <t>NORBERG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53224-2024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45613</v>
      </c>
      <c r="E60" s="1" t="n">
        <v>46222</v>
      </c>
      <c r="F60" t="inlineStr">
        <is>
          <t>VÄSTMANLANDS LÄN</t>
        </is>
      </c>
      <c r="G60" t="inlineStr">
        <is>
          <t>NORBERG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51793-2024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45607</v>
      </c>
      <c r="E61" s="1" t="n">
        <v>46222</v>
      </c>
      <c r="F61" t="inlineStr">
        <is>
          <t>VÄSTMANLANDS LÄN</t>
        </is>
      </c>
      <c r="G61" t="inlineStr">
        <is>
          <t>NORBERG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9907-2024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45363</v>
      </c>
      <c r="E62" s="1" t="n">
        <v>46222</v>
      </c>
      <c r="F62" t="inlineStr">
        <is>
          <t>VÄSTMANLANDS LÄN</t>
        </is>
      </c>
      <c r="G62" t="inlineStr">
        <is>
          <t>NORBERG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49001-2025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46222</v>
      </c>
      <c r="F63" t="inlineStr">
        <is>
          <t>VÄSTMANLANDS LÄN</t>
        </is>
      </c>
      <c r="G63" t="inlineStr">
        <is>
          <t>NORBERG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48997-2025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46222</v>
      </c>
      <c r="F64" t="inlineStr">
        <is>
          <t>VÄSTMANLANDS LÄN</t>
        </is>
      </c>
      <c r="G64" t="inlineStr">
        <is>
          <t>NORBERG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38018-2025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45882</v>
      </c>
      <c r="E65" s="1" t="n">
        <v>46222</v>
      </c>
      <c r="F65" t="inlineStr">
        <is>
          <t>VÄSTMANLANDS LÄN</t>
        </is>
      </c>
      <c r="G65" t="inlineStr">
        <is>
          <t>NORBERG</t>
        </is>
      </c>
      <c r="H65" t="inlineStr">
        <is>
          <t>Övriga Aktiebolag</t>
        </is>
      </c>
      <c r="I65" t="n">
        <v>15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38019-2025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45882</v>
      </c>
      <c r="E66" s="1" t="n">
        <v>46222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57993-2024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45631</v>
      </c>
      <c r="E67" s="1" t="n">
        <v>46222</v>
      </c>
      <c r="F67" t="inlineStr">
        <is>
          <t>VÄSTMANLANDS LÄN</t>
        </is>
      </c>
      <c r="G67" t="inlineStr">
        <is>
          <t>NORBERG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40154-2023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45169</v>
      </c>
      <c r="E68" s="1" t="n">
        <v>46222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60339-2025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45994</v>
      </c>
      <c r="E69" s="1" t="n">
        <v>46222</v>
      </c>
      <c r="F69" t="inlineStr">
        <is>
          <t>VÄSTMANLANDS LÄN</t>
        </is>
      </c>
      <c r="G69" t="inlineStr">
        <is>
          <t>NORBERG</t>
        </is>
      </c>
      <c r="H69" t="inlineStr">
        <is>
          <t>Kommuner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7417-2025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45705</v>
      </c>
      <c r="E70" s="1" t="n">
        <v>46222</v>
      </c>
      <c r="F70" t="inlineStr">
        <is>
          <t>VÄSTMANLANDS LÄN</t>
        </is>
      </c>
      <c r="G70" t="inlineStr">
        <is>
          <t>NORBERG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73797-2021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46222</v>
      </c>
      <c r="F71" t="inlineStr">
        <is>
          <t>VÄSTMANLANDS LÄN</t>
        </is>
      </c>
      <c r="G71" t="inlineStr">
        <is>
          <t>NORBERG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54670-2025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46222</v>
      </c>
      <c r="F72" t="inlineStr">
        <is>
          <t>VÄSTMANLANDS LÄN</t>
        </is>
      </c>
      <c r="G72" t="inlineStr">
        <is>
          <t>NORBERG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37198-2023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45155</v>
      </c>
      <c r="E73" s="1" t="n">
        <v>46222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46864-2023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45200</v>
      </c>
      <c r="E74" s="1" t="n">
        <v>46222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56726-2025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46222</v>
      </c>
      <c r="F75" t="inlineStr">
        <is>
          <t>VÄSTMANLANDS LÄN</t>
        </is>
      </c>
      <c r="G75" t="inlineStr">
        <is>
          <t>NORBERG</t>
        </is>
      </c>
      <c r="H75" t="inlineStr">
        <is>
          <t>Övriga Aktiebolag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18960-2025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45764</v>
      </c>
      <c r="E76" s="1" t="n">
        <v>46222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27580-2024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45474</v>
      </c>
      <c r="E77" s="1" t="n">
        <v>46222</v>
      </c>
      <c r="F77" t="inlineStr">
        <is>
          <t>VÄSTMANLANDS LÄN</t>
        </is>
      </c>
      <c r="G77" t="inlineStr">
        <is>
          <t>NORBERG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59527-2025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45989</v>
      </c>
      <c r="E78" s="1" t="n">
        <v>46222</v>
      </c>
      <c r="F78" t="inlineStr">
        <is>
          <t>VÄSTMANLANDS LÄN</t>
        </is>
      </c>
      <c r="G78" t="inlineStr">
        <is>
          <t>NORBERG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54143-2025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46222</v>
      </c>
      <c r="F79" t="inlineStr">
        <is>
          <t>VÄSTMANLANDS LÄN</t>
        </is>
      </c>
      <c r="G79" t="inlineStr">
        <is>
          <t>NORBERG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46093</v>
      </c>
      <c r="E80" s="1" t="n">
        <v>46222</v>
      </c>
      <c r="F80" t="inlineStr">
        <is>
          <t>VÄSTMANLANDS LÄN</t>
        </is>
      </c>
      <c r="G80" t="inlineStr">
        <is>
          <t>NORBERG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13471-2026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46093</v>
      </c>
      <c r="E81" s="1" t="n">
        <v>46222</v>
      </c>
      <c r="F81" t="inlineStr">
        <is>
          <t>VÄSTMANLANDS LÄN</t>
        </is>
      </c>
      <c r="G81" t="inlineStr">
        <is>
          <t>NORBERG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14234-2026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46099</v>
      </c>
      <c r="E82" s="1" t="n">
        <v>46222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28589-2023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45103</v>
      </c>
      <c r="E83" s="1" t="n">
        <v>46222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62155-2025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46006</v>
      </c>
      <c r="E84" s="1" t="n">
        <v>46222</v>
      </c>
      <c r="F84" t="inlineStr">
        <is>
          <t>VÄSTMANLANDS LÄN</t>
        </is>
      </c>
      <c r="G84" t="inlineStr">
        <is>
          <t>NORBERG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36443-2024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45537</v>
      </c>
      <c r="E85" s="1" t="n">
        <v>46222</v>
      </c>
      <c r="F85" t="inlineStr">
        <is>
          <t>VÄSTMANLANDS LÄN</t>
        </is>
      </c>
      <c r="G85" t="inlineStr">
        <is>
          <t>NORBERG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62883-2025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46222</v>
      </c>
      <c r="F86" t="inlineStr">
        <is>
          <t>VÄSTMANLANDS LÄN</t>
        </is>
      </c>
      <c r="G86" t="inlineStr">
        <is>
          <t>NORBERG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62882-2025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46222</v>
      </c>
      <c r="F87" t="inlineStr">
        <is>
          <t>VÄSTMANLANDS LÄN</t>
        </is>
      </c>
      <c r="G87" t="inlineStr">
        <is>
          <t>NORBERG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62881-2025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46222</v>
      </c>
      <c r="F88" t="inlineStr">
        <is>
          <t>VÄSTMANLANDS LÄN</t>
        </is>
      </c>
      <c r="G88" t="inlineStr">
        <is>
          <t>NORBERG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46014</v>
      </c>
      <c r="E89" s="1" t="n">
        <v>46222</v>
      </c>
      <c r="F89" t="inlineStr">
        <is>
          <t>VÄSTMANLANDS LÄN</t>
        </is>
      </c>
      <c r="G89" t="inlineStr">
        <is>
          <t>NORBERG</t>
        </is>
      </c>
      <c r="I89" t="n">
        <v>22.8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46222</v>
      </c>
      <c r="F90" t="inlineStr">
        <is>
          <t>VÄSTMANLANDS LÄN</t>
        </is>
      </c>
      <c r="G90" t="inlineStr">
        <is>
          <t>NORBERG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47610-2022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44852</v>
      </c>
      <c r="E91" s="1" t="n">
        <v>46222</v>
      </c>
      <c r="F91" t="inlineStr">
        <is>
          <t>VÄSTMANLANDS LÄN</t>
        </is>
      </c>
      <c r="G91" t="inlineStr">
        <is>
          <t>NORBERG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15261-2026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46105</v>
      </c>
      <c r="E92" s="1" t="n">
        <v>46222</v>
      </c>
      <c r="F92" t="inlineStr">
        <is>
          <t>VÄSTMANLANDS LÄN</t>
        </is>
      </c>
      <c r="G92" t="inlineStr">
        <is>
          <t>NORBERG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15263-2026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46105</v>
      </c>
      <c r="E93" s="1" t="n">
        <v>46222</v>
      </c>
      <c r="F93" t="inlineStr">
        <is>
          <t>VÄSTMANLANDS LÄN</t>
        </is>
      </c>
      <c r="G93" t="inlineStr">
        <is>
          <t>NORBERG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15265-2026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46105</v>
      </c>
      <c r="E94" s="1" t="n">
        <v>46222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63907-2025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46020</v>
      </c>
      <c r="E95" s="1" t="n">
        <v>46222</v>
      </c>
      <c r="F95" t="inlineStr">
        <is>
          <t>VÄSTMANLANDS LÄN</t>
        </is>
      </c>
      <c r="G95" t="inlineStr">
        <is>
          <t>NORBERG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45066-2023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46222</v>
      </c>
      <c r="F96" t="inlineStr">
        <is>
          <t>VÄSTMANLANDS LÄN</t>
        </is>
      </c>
      <c r="G96" t="inlineStr">
        <is>
          <t>NORBERG</t>
        </is>
      </c>
      <c r="H96" t="inlineStr">
        <is>
          <t>Bergvik skog väst AB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25540-2023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45089</v>
      </c>
      <c r="E97" s="1" t="n">
        <v>46222</v>
      </c>
      <c r="F97" t="inlineStr">
        <is>
          <t>VÄSTMANLANDS LÄN</t>
        </is>
      </c>
      <c r="G97" t="inlineStr">
        <is>
          <t>NORBERG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15981-2026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46108</v>
      </c>
      <c r="E98" s="1" t="n">
        <v>46222</v>
      </c>
      <c r="F98" t="inlineStr">
        <is>
          <t>VÄSTMANLANDS LÄN</t>
        </is>
      </c>
      <c r="G98" t="inlineStr">
        <is>
          <t>NORBERG</t>
        </is>
      </c>
      <c r="H98" t="inlineStr">
        <is>
          <t>Sveaskog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11664-2023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46222</v>
      </c>
      <c r="F99" t="inlineStr">
        <is>
          <t>VÄSTMANLANDS LÄN</t>
        </is>
      </c>
      <c r="G99" t="inlineStr">
        <is>
          <t>NORBERG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16383-2026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46111</v>
      </c>
      <c r="E100" s="1" t="n">
        <v>46222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16897-2026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46113</v>
      </c>
      <c r="E101" s="1" t="n">
        <v>46222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51798-2024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45607</v>
      </c>
      <c r="E102" s="1" t="n">
        <v>46222</v>
      </c>
      <c r="F102" t="inlineStr">
        <is>
          <t>VÄSTMANLANDS LÄN</t>
        </is>
      </c>
      <c r="G102" t="inlineStr">
        <is>
          <t>NORBERG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17063-2026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46114</v>
      </c>
      <c r="E103" s="1" t="n">
        <v>46222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17318-2026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46119</v>
      </c>
      <c r="E104" s="1" t="n">
        <v>46222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47846-2024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45588</v>
      </c>
      <c r="E105" s="1" t="n">
        <v>46222</v>
      </c>
      <c r="F105" t="inlineStr">
        <is>
          <t>VÄSTMANLANDS LÄN</t>
        </is>
      </c>
      <c r="G105" t="inlineStr">
        <is>
          <t>NORBERG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46222</v>
      </c>
      <c r="F106" t="inlineStr">
        <is>
          <t>VÄSTMANLANDS LÄN</t>
        </is>
      </c>
      <c r="G106" t="inlineStr">
        <is>
          <t>NORBERG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45567</v>
      </c>
      <c r="E107" s="1" t="n">
        <v>46222</v>
      </c>
      <c r="F107" t="inlineStr">
        <is>
          <t>VÄSTMANLANDS LÄN</t>
        </is>
      </c>
      <c r="G107" t="inlineStr">
        <is>
          <t>NORBERG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21543-2023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45063</v>
      </c>
      <c r="E108" s="1" t="n">
        <v>46222</v>
      </c>
      <c r="F108" t="inlineStr">
        <is>
          <t>VÄSTMANLANDS LÄN</t>
        </is>
      </c>
      <c r="G108" t="inlineStr">
        <is>
          <t>NORBERG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48396-2023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46222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32524-2023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45121</v>
      </c>
      <c r="E110" s="1" t="n">
        <v>46222</v>
      </c>
      <c r="F110" t="inlineStr">
        <is>
          <t>VÄSTMANLANDS LÄN</t>
        </is>
      </c>
      <c r="G110" t="inlineStr">
        <is>
          <t>NORBERG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26072-2023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45091</v>
      </c>
      <c r="E111" s="1" t="n">
        <v>46222</v>
      </c>
      <c r="F111" t="inlineStr">
        <is>
          <t>VÄSTMANLANDS LÄN</t>
        </is>
      </c>
      <c r="G111" t="inlineStr">
        <is>
          <t>NORBERG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11099-2022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44628</v>
      </c>
      <c r="E112" s="1" t="n">
        <v>46222</v>
      </c>
      <c r="F112" t="inlineStr">
        <is>
          <t>VÄSTMANLANDS LÄN</t>
        </is>
      </c>
      <c r="G112" t="inlineStr">
        <is>
          <t>NORBERG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21232-2024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46222</v>
      </c>
      <c r="F113" t="inlineStr">
        <is>
          <t>VÄSTMANLANDS LÄN</t>
        </is>
      </c>
      <c r="G113" t="inlineStr">
        <is>
          <t>NORBERG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56940-2021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44480</v>
      </c>
      <c r="E114" s="1" t="n">
        <v>46222</v>
      </c>
      <c r="F114" t="inlineStr">
        <is>
          <t>VÄSTMANLANDS LÄN</t>
        </is>
      </c>
      <c r="G114" t="inlineStr">
        <is>
          <t>NORBERG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63777-2025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46019</v>
      </c>
      <c r="E115" s="1" t="n">
        <v>46222</v>
      </c>
      <c r="F115" t="inlineStr">
        <is>
          <t>VÄSTMANLANDS LÄN</t>
        </is>
      </c>
      <c r="G115" t="inlineStr">
        <is>
          <t>NORBERG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46222</v>
      </c>
      <c r="F116" t="inlineStr">
        <is>
          <t>VÄSTMANLANDS LÄN</t>
        </is>
      </c>
      <c r="G116" t="inlineStr">
        <is>
          <t>NORBERG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20407-2026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46139</v>
      </c>
      <c r="E117" s="1" t="n">
        <v>46222</v>
      </c>
      <c r="F117" t="inlineStr">
        <is>
          <t>VÄSTMANLANDS LÄN</t>
        </is>
      </c>
      <c r="G117" t="inlineStr">
        <is>
          <t>NORBERG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46045-2023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46222</v>
      </c>
      <c r="F118" t="inlineStr">
        <is>
          <t>VÄSTMANLANDS LÄN</t>
        </is>
      </c>
      <c r="G118" t="inlineStr">
        <is>
          <t>NORBERG</t>
        </is>
      </c>
      <c r="H118" t="inlineStr">
        <is>
          <t>Bergvik skog väst AB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40140-2023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45169</v>
      </c>
      <c r="E119" s="1" t="n">
        <v>46222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50005-2024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45598</v>
      </c>
      <c r="E120" s="1" t="n">
        <v>46222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54306-2023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46222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59705-2024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46222</v>
      </c>
      <c r="F122" t="inlineStr">
        <is>
          <t>VÄSTMANLANDS LÄN</t>
        </is>
      </c>
      <c r="G122" t="inlineStr">
        <is>
          <t>NORBERG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16503-2024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45408</v>
      </c>
      <c r="E123" s="1" t="n">
        <v>46222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46222</v>
      </c>
      <c r="F124" t="inlineStr">
        <is>
          <t>VÄSTMANLANDS LÄN</t>
        </is>
      </c>
      <c r="G124" t="inlineStr">
        <is>
          <t>NORBERG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40153-2023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46222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20968-2026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46142</v>
      </c>
      <c r="E126" s="1" t="n">
        <v>46222</v>
      </c>
      <c r="F126" t="inlineStr">
        <is>
          <t>VÄSTMANLANDS LÄN</t>
        </is>
      </c>
      <c r="G126" t="inlineStr">
        <is>
          <t>NORBERG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37011-2023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46222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45679</v>
      </c>
      <c r="E128" s="1" t="n">
        <v>46222</v>
      </c>
      <c r="F128" t="inlineStr">
        <is>
          <t>VÄSTMANLANDS LÄN</t>
        </is>
      </c>
      <c r="G128" t="inlineStr">
        <is>
          <t>NORBERG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21218-2026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46222</v>
      </c>
      <c r="F129" t="inlineStr">
        <is>
          <t>VÄSTMANLANDS LÄN</t>
        </is>
      </c>
      <c r="G129" t="inlineStr">
        <is>
          <t>NORBERG</t>
        </is>
      </c>
      <c r="H129" t="inlineStr">
        <is>
          <t>Bergvik skog väst AB</t>
        </is>
      </c>
      <c r="I129" t="n">
        <v>12.1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21526-2026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46148</v>
      </c>
      <c r="E130" s="1" t="n">
        <v>46222</v>
      </c>
      <c r="F130" t="inlineStr">
        <is>
          <t>VÄSTMANLANDS LÄN</t>
        </is>
      </c>
      <c r="G130" t="inlineStr">
        <is>
          <t>NORBERG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27716-2026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46190</v>
      </c>
      <c r="E131" s="1" t="n">
        <v>46222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18673-2022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44687</v>
      </c>
      <c r="E132" s="1" t="n">
        <v>46222</v>
      </c>
      <c r="F132" t="inlineStr">
        <is>
          <t>VÄSTMANLANDS LÄN</t>
        </is>
      </c>
      <c r="G132" t="inlineStr">
        <is>
          <t>NORBERG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21504-2026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46148</v>
      </c>
      <c r="E133" s="1" t="n">
        <v>46222</v>
      </c>
      <c r="F133" t="inlineStr">
        <is>
          <t>VÄSTMANLANDS LÄN</t>
        </is>
      </c>
      <c r="G133" t="inlineStr">
        <is>
          <t>NORBERG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53030-2023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45226</v>
      </c>
      <c r="E134" s="1" t="n">
        <v>46222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12526-2025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45730</v>
      </c>
      <c r="E135" s="1" t="n">
        <v>46222</v>
      </c>
      <c r="F135" t="inlineStr">
        <is>
          <t>VÄSTMANLANDS LÄN</t>
        </is>
      </c>
      <c r="G135" t="inlineStr">
        <is>
          <t>NORBERG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27475-2026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46189</v>
      </c>
      <c r="E136" s="1" t="n">
        <v>46222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22092-2026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46222</v>
      </c>
      <c r="F137" t="inlineStr">
        <is>
          <t>VÄSTMANLANDS LÄN</t>
        </is>
      </c>
      <c r="G137" t="inlineStr">
        <is>
          <t>NORBERG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19254-2023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45049</v>
      </c>
      <c r="E138" s="1" t="n">
        <v>46222</v>
      </c>
      <c r="F138" t="inlineStr">
        <is>
          <t>VÄSTMANLANDS LÄN</t>
        </is>
      </c>
      <c r="G138" t="inlineStr">
        <is>
          <t>NORBERG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21973-2026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46153</v>
      </c>
      <c r="E139" s="1" t="n">
        <v>46222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21990-2026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46153</v>
      </c>
      <c r="E140" s="1" t="n">
        <v>46222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21984-2026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46153</v>
      </c>
      <c r="E141" s="1" t="n">
        <v>46222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57990-2024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46222</v>
      </c>
      <c r="F142" t="inlineStr">
        <is>
          <t>VÄSTMANLANDS LÄN</t>
        </is>
      </c>
      <c r="G142" t="inlineStr">
        <is>
          <t>NORBERG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63505-2023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45274</v>
      </c>
      <c r="E143" s="1" t="n">
        <v>46222</v>
      </c>
      <c r="F143" t="inlineStr">
        <is>
          <t>VÄSTMANLANDS LÄN</t>
        </is>
      </c>
      <c r="G143" t="inlineStr">
        <is>
          <t>NORBERG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21976-2026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46153</v>
      </c>
      <c r="E144" s="1" t="n">
        <v>46222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21983-2026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46153</v>
      </c>
      <c r="E145" s="1" t="n">
        <v>46222</v>
      </c>
      <c r="F145" t="inlineStr">
        <is>
          <t>VÄSTMANLANDS LÄN</t>
        </is>
      </c>
      <c r="G145" t="inlineStr">
        <is>
          <t>NORBERG</t>
        </is>
      </c>
      <c r="H145" t="inlineStr">
        <is>
          <t>Övriga Aktiebolag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21987-2026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46222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19164-2025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46222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19173-2025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45769</v>
      </c>
      <c r="E148" s="1" t="n">
        <v>46222</v>
      </c>
      <c r="F148" t="inlineStr">
        <is>
          <t>VÄSTMANLANDS LÄN</t>
        </is>
      </c>
      <c r="G148" t="inlineStr">
        <is>
          <t>NORBERG</t>
        </is>
      </c>
      <c r="H148" t="inlineStr">
        <is>
          <t>Övriga Aktiebolag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27473-2026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46189</v>
      </c>
      <c r="E149" s="1" t="n">
        <v>46222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13.7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28607-2026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46222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28608-2026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46222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12796-2023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46222</v>
      </c>
      <c r="F152" t="inlineStr">
        <is>
          <t>VÄSTMANLANDS LÄN</t>
        </is>
      </c>
      <c r="G152" t="inlineStr">
        <is>
          <t>NORBERG</t>
        </is>
      </c>
      <c r="I152" t="n">
        <v>22.4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51778-2024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45607</v>
      </c>
      <c r="E153" s="1" t="n">
        <v>46222</v>
      </c>
      <c r="F153" t="inlineStr">
        <is>
          <t>VÄSTMANLANDS LÄN</t>
        </is>
      </c>
      <c r="G153" t="inlineStr">
        <is>
          <t>NORBERG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46865-2023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45200</v>
      </c>
      <c r="E154" s="1" t="n">
        <v>46222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56400-2025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45974</v>
      </c>
      <c r="E155" s="1" t="n">
        <v>46222</v>
      </c>
      <c r="F155" t="inlineStr">
        <is>
          <t>VÄSTMANLANDS LÄN</t>
        </is>
      </c>
      <c r="G155" t="inlineStr">
        <is>
          <t>NORBERG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41448-2024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45560</v>
      </c>
      <c r="E156" s="1" t="n">
        <v>46222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20381-2023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45056</v>
      </c>
      <c r="E157" s="1" t="n">
        <v>46222</v>
      </c>
      <c r="F157" t="inlineStr">
        <is>
          <t>VÄSTMANLANDS LÄN</t>
        </is>
      </c>
      <c r="G157" t="inlineStr">
        <is>
          <t>NORBERG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54573-2023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45233</v>
      </c>
      <c r="E158" s="1" t="n">
        <v>46222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23702-2024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46222</v>
      </c>
      <c r="F159" t="inlineStr">
        <is>
          <t>VÄSTMANLANDS LÄN</t>
        </is>
      </c>
      <c r="G159" t="inlineStr">
        <is>
          <t>NORBERG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23705-2024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45454</v>
      </c>
      <c r="E160" s="1" t="n">
        <v>46222</v>
      </c>
      <c r="F160" t="inlineStr">
        <is>
          <t>VÄSTMANLANDS LÄN</t>
        </is>
      </c>
      <c r="G160" t="inlineStr">
        <is>
          <t>NORBERG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24540-2022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44727</v>
      </c>
      <c r="E161" s="1" t="n">
        <v>46222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47753-2024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46222</v>
      </c>
      <c r="F162" t="inlineStr">
        <is>
          <t>VÄSTMANLANDS LÄN</t>
        </is>
      </c>
      <c r="G162" t="inlineStr">
        <is>
          <t>NORBERG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42198-2023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45179</v>
      </c>
      <c r="E163" s="1" t="n">
        <v>46222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51790-2024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45607</v>
      </c>
      <c r="E164" s="1" t="n">
        <v>46222</v>
      </c>
      <c r="F164" t="inlineStr">
        <is>
          <t>VÄSTMANLANDS LÄN</t>
        </is>
      </c>
      <c r="G164" t="inlineStr">
        <is>
          <t>NORBERG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25331-2026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46176</v>
      </c>
      <c r="E165" s="1" t="n">
        <v>46222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19377-2025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45769</v>
      </c>
      <c r="E166" s="1" t="n">
        <v>46222</v>
      </c>
      <c r="F166" t="inlineStr">
        <is>
          <t>VÄSTMANLANDS LÄN</t>
        </is>
      </c>
      <c r="G166" t="inlineStr">
        <is>
          <t>NORBERG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45316</v>
      </c>
      <c r="E167" s="1" t="n">
        <v>46222</v>
      </c>
      <c r="F167" t="inlineStr">
        <is>
          <t>VÄSTMANLANDS LÄN</t>
        </is>
      </c>
      <c r="G167" t="inlineStr">
        <is>
          <t>NORBERG</t>
        </is>
      </c>
      <c r="I167" t="n">
        <v>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46222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58616-2024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46222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19075-2022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44691</v>
      </c>
      <c r="E170" s="1" t="n">
        <v>46222</v>
      </c>
      <c r="F170" t="inlineStr">
        <is>
          <t>VÄSTMANLANDS LÄN</t>
        </is>
      </c>
      <c r="G170" t="inlineStr">
        <is>
          <t>NORBERG</t>
        </is>
      </c>
      <c r="H170" t="inlineStr">
        <is>
          <t>Övriga Aktiebolag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12110-2025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46222</v>
      </c>
      <c r="F171" t="inlineStr">
        <is>
          <t>VÄSTMANLANDS LÄN</t>
        </is>
      </c>
      <c r="G171" t="inlineStr">
        <is>
          <t>NORBERG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47029-2024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45586</v>
      </c>
      <c r="E172" s="1" t="n">
        <v>46222</v>
      </c>
      <c r="F172" t="inlineStr">
        <is>
          <t>VÄSTMANLANDS LÄN</t>
        </is>
      </c>
      <c r="G172" t="inlineStr">
        <is>
          <t>NORBERG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49763-2024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45597</v>
      </c>
      <c r="E173" s="1" t="n">
        <v>46222</v>
      </c>
      <c r="F173" t="inlineStr">
        <is>
          <t>VÄSTMANLANDS LÄN</t>
        </is>
      </c>
      <c r="G173" t="inlineStr">
        <is>
          <t>NORBERG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17075-2023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46222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8.1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44992</v>
      </c>
      <c r="E175" s="1" t="n">
        <v>46222</v>
      </c>
      <c r="F175" t="inlineStr">
        <is>
          <t>VÄSTMANLANDS LÄN</t>
        </is>
      </c>
      <c r="G175" t="inlineStr">
        <is>
          <t>NORBERG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45065-2023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46222</v>
      </c>
      <c r="F176" t="inlineStr">
        <is>
          <t>VÄSTMANLANDS LÄN</t>
        </is>
      </c>
      <c r="G176" t="inlineStr">
        <is>
          <t>NORBERG</t>
        </is>
      </c>
      <c r="H176" t="inlineStr">
        <is>
          <t>Bergvik skog väst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46041-2023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46222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13654-2024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45390</v>
      </c>
      <c r="E178" s="1" t="n">
        <v>46222</v>
      </c>
      <c r="F178" t="inlineStr">
        <is>
          <t>VÄSTMANLANDS LÄN</t>
        </is>
      </c>
      <c r="G178" t="inlineStr">
        <is>
          <t>NORBERG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23418-2025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46222</v>
      </c>
      <c r="F179" t="inlineStr">
        <is>
          <t>VÄSTMANLANDS LÄN</t>
        </is>
      </c>
      <c r="G179" t="inlineStr">
        <is>
          <t>NORBERG</t>
        </is>
      </c>
      <c r="H179" t="inlineStr">
        <is>
          <t>Övriga Aktiebolag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23433-2025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45792</v>
      </c>
      <c r="E180" s="1" t="n">
        <v>46222</v>
      </c>
      <c r="F180" t="inlineStr">
        <is>
          <t>VÄSTMANLANDS LÄN</t>
        </is>
      </c>
      <c r="G180" t="inlineStr">
        <is>
          <t>NORBERG</t>
        </is>
      </c>
      <c r="H180" t="inlineStr">
        <is>
          <t>Övriga Aktiebolag</t>
        </is>
      </c>
      <c r="I180" t="n">
        <v>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63495-2023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45274</v>
      </c>
      <c r="E181" s="1" t="n">
        <v>46222</v>
      </c>
      <c r="F181" t="inlineStr">
        <is>
          <t>VÄSTMANLANDS LÄN</t>
        </is>
      </c>
      <c r="G181" t="inlineStr">
        <is>
          <t>NORBERG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45290-2024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45576</v>
      </c>
      <c r="E182" s="1" t="n">
        <v>46222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9.300000000000001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S 409-2022</t>
        </is>
      </c>
      <c r="B183" t="inlineStr">
        <is>
          <t>samrådsanmälan</t>
        </is>
      </c>
      <c r="C183" t="inlineStr">
        <is>
          <t>Skogsgödsling</t>
        </is>
      </c>
      <c r="D183" s="1" t="n">
        <v>44585</v>
      </c>
      <c r="E183" s="1" t="n">
        <v>46222</v>
      </c>
      <c r="F183" t="inlineStr">
        <is>
          <t>VÄSTMANLANDS LÄN</t>
        </is>
      </c>
      <c r="G183" t="inlineStr">
        <is>
          <t>NORBERG</t>
        </is>
      </c>
      <c r="H183" t="inlineStr">
        <is>
          <t>Bergvik skog väst AB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>
      <c r="A184" t="inlineStr">
        <is>
          <t>S 606-2026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46085</v>
      </c>
      <c r="E184" s="1" t="n">
        <v>46222</v>
      </c>
      <c r="F184" t="inlineStr">
        <is>
          <t>VÄSTMANLANDS LÄN</t>
        </is>
      </c>
      <c r="G184" t="inlineStr">
        <is>
          <t>NORBERG</t>
        </is>
      </c>
      <c r="H184" t="inlineStr">
        <is>
          <t>Bergvik skog väst AB</t>
        </is>
      </c>
      <c r="I184" t="n">
        <v>26.4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2026-07-19T01:34:18Z</dcterms:created>
  <dcterms:modified xmlns:dcterms="http://purl.org/dc/terms/" xmlns:xsi="http://www.w3.org/2001/XMLSchema-instance" xsi:type="dcterms:W3CDTF">2026-07-19T01:34:18Z</dcterms:modified>
</cp:coreProperties>
</file>