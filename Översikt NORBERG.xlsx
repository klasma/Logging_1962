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135-2026</t>
        </is>
      </c>
      <c r="B2" t="inlineStr">
        <is>
          <t>samrådsanmälan</t>
        </is>
      </c>
      <c r="C2" t="inlineStr">
        <is>
          <t>Skogsgödsling</t>
        </is>
      </c>
      <c r="D2" s="1" t="n">
        <v>46042</v>
      </c>
      <c r="E2" s="1" t="n">
        <v>46314</v>
      </c>
      <c r="F2" t="inlineStr">
        <is>
          <t>VÄSTMANLANDS LÄN</t>
        </is>
      </c>
      <c r="G2" t="inlineStr">
        <is>
          <t>NORBERG</t>
        </is>
      </c>
      <c r="I2" t="n">
        <v>469.3</v>
      </c>
      <c r="J2" t="n">
        <v>13</v>
      </c>
      <c r="K2" t="n">
        <v>10</v>
      </c>
      <c r="L2" t="n">
        <v>5</v>
      </c>
      <c r="M2" t="n">
        <v>3</v>
      </c>
      <c r="N2" t="n">
        <v>0</v>
      </c>
      <c r="O2" t="n">
        <v>0</v>
      </c>
      <c r="P2" t="n">
        <v>0</v>
      </c>
      <c r="Q2" t="n">
        <v>8</v>
      </c>
      <c r="R2" t="n">
        <v>3</v>
      </c>
      <c r="S2" t="n">
        <v>26</v>
      </c>
      <c r="T2" t="n">
        <v>42</v>
      </c>
      <c r="U2" t="n">
        <v>0</v>
      </c>
      <c r="V2" s="2" t="inlineStr">
        <is>
          <t>Aspfibbla
Gul taggsvamp
Knottblomster
Hägerströmsfibbla
Jungfrulin
Kungsörn
Mindre tåtelsmygare
Nordfladdermus
Gräsull
Gullgröppa
Klotuffmossa
Korallrot
Kärrkammossa
Skogshakmossa
Skogsknipprot
Svart trolldruva
Tibast
Underviol
Blåsippa
Tjäder
Gråskimlig fladdermus
Skogsödla
Fläcknycklar
Käppkrokmossa
Ängsnycklar
Revlummer</t>
        </is>
      </c>
      <c r="W2">
        <f>HYPERLINK("https://klasma.github.io/Logging_1962/artfynd/S 135-2026 artfynd.xlsx", "S 135-2026")</f>
        <v/>
      </c>
      <c r="X2">
        <f>HYPERLINK("https://klasma.github.io/Logging_1962/kartor/S 135-2026 karta.png", "S 135-2026")</f>
        <v/>
      </c>
      <c r="Y2">
        <f>HYPERLINK("https://klasma.github.io/Logging_1962/kartor_geotiff/S 135-2026 georefererad karta.tif", "S 135-2026")</f>
        <v/>
      </c>
      <c r="AA2">
        <f>HYPERLINK("https://klasma.github.io/Logging_1962/klagomål/S 135-2026 FSC-klagomål.docx", "S 135-2026")</f>
        <v/>
      </c>
      <c r="AB2">
        <f>HYPERLINK("https://klasma.github.io/Logging_1962/klagomålsmail/S 135-2026 FSC-klagomål mail.docx", "S 135-2026")</f>
        <v/>
      </c>
      <c r="AC2">
        <f>HYPERLINK("https://klasma.github.io/Logging_1962/tillsyn/S 135-2026 tillsynsbegäran.docx", "S 135-2026")</f>
        <v/>
      </c>
      <c r="AD2">
        <f>HYPERLINK("https://klasma.github.io/Logging_1962/tillsynsmail/S 135-2026 tillsynsbegäran mail.docx", "S 135-2026")</f>
        <v/>
      </c>
      <c r="AE2">
        <f>HYPERLINK("https://klasma.github.io/Logging_1962/fåglar/S 135-2026 prioriterade fågelarter.docx", "S 135-2026")</f>
        <v/>
      </c>
    </row>
    <row r="3" ht="15" customHeight="1">
      <c r="A3" t="inlineStr">
        <is>
          <t>A 33442-2026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46247</v>
      </c>
      <c r="E3" s="1" t="n">
        <v>46314</v>
      </c>
      <c r="F3" t="inlineStr">
        <is>
          <t>VÄSTMANLANDS LÄN</t>
        </is>
      </c>
      <c r="G3" t="inlineStr">
        <is>
          <t>NORBERG</t>
        </is>
      </c>
      <c r="H3" t="inlineStr">
        <is>
          <t>Sveaskog</t>
        </is>
      </c>
      <c r="I3" t="n">
        <v>8.300000000000001</v>
      </c>
      <c r="J3" t="n">
        <v>2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1</v>
      </c>
      <c r="S3" t="n">
        <v>4</v>
      </c>
      <c r="T3" t="n">
        <v>5</v>
      </c>
      <c r="U3" t="n">
        <v>0</v>
      </c>
      <c r="V3" s="2" t="inlineStr">
        <is>
          <t>Brunfläckig pärlemorfjäril
Slåtterfibbla
Tvåblad
Fläcknycklar</t>
        </is>
      </c>
      <c r="W3">
        <f>HYPERLINK("https://klasma.github.io/Logging_1962/artfynd/A 33442-2026 artfynd.xlsx", "A 33442-2026")</f>
        <v/>
      </c>
      <c r="X3">
        <f>HYPERLINK("https://klasma.github.io/Logging_1962/kartor/A 33442-2026 karta.png", "A 33442-2026")</f>
        <v/>
      </c>
      <c r="Y3">
        <f>HYPERLINK("https://klasma.github.io/Logging_1962/kartor_geotiff/A 33442-2026 georefererad karta.tif", "A 33442-2026")</f>
        <v/>
      </c>
      <c r="AA3">
        <f>HYPERLINK("https://klasma.github.io/Logging_1962/klagomål/A 33442-2026 FSC-klagomål.docx", "A 33442-2026")</f>
        <v/>
      </c>
      <c r="AB3">
        <f>HYPERLINK("https://klasma.github.io/Logging_1962/klagomålsmail/A 33442-2026 FSC-klagomål mail.docx", "A 33442-2026")</f>
        <v/>
      </c>
      <c r="AC3">
        <f>HYPERLINK("https://klasma.github.io/Logging_1962/tillsyn/A 33442-2026 tillsynsbegäran.docx", "A 33442-2026")</f>
        <v/>
      </c>
      <c r="AD3">
        <f>HYPERLINK("https://klasma.github.io/Logging_1962/tillsynsmail/A 33442-2026 tillsynsbegäran mail.docx", "A 33442-2026")</f>
        <v/>
      </c>
    </row>
    <row r="4" ht="15" customHeight="1">
      <c r="A4" t="inlineStr">
        <is>
          <t>A 62471-2023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45268</v>
      </c>
      <c r="E4" s="1" t="n">
        <v>46314</v>
      </c>
      <c r="F4" t="inlineStr">
        <is>
          <t>VÄSTMANLANDS LÄN</t>
        </is>
      </c>
      <c r="G4" t="inlineStr">
        <is>
          <t>NORBERG</t>
        </is>
      </c>
      <c r="I4" t="n">
        <v>5.3</v>
      </c>
      <c r="J4" t="n">
        <v>0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3</v>
      </c>
      <c r="T4" t="n">
        <v>5</v>
      </c>
      <c r="U4" t="n">
        <v>0</v>
      </c>
      <c r="V4" s="2" t="inlineStr">
        <is>
          <t>Kryddspindling
Orange taggsvamp
Zontaggsvamp</t>
        </is>
      </c>
      <c r="W4">
        <f>HYPERLINK("https://klasma.github.io/Logging_1962/artfynd/A 62471-2023 artfynd.xlsx", "A 62471-2023")</f>
        <v/>
      </c>
      <c r="X4">
        <f>HYPERLINK("https://klasma.github.io/Logging_1962/kartor/A 62471-2023 karta.png", "A 62471-2023")</f>
        <v/>
      </c>
      <c r="Y4">
        <f>HYPERLINK("https://klasma.github.io/Logging_1962/kartor_geotiff/A 62471-2023 georefererad karta.tif", "A 62471-2023")</f>
        <v/>
      </c>
      <c r="AA4">
        <f>HYPERLINK("https://klasma.github.io/Logging_1962/klagomål/A 62471-2023 FSC-klagomål.docx", "A 62471-2023")</f>
        <v/>
      </c>
      <c r="AB4">
        <f>HYPERLINK("https://klasma.github.io/Logging_1962/klagomålsmail/A 62471-2023 FSC-klagomål mail.docx", "A 62471-2023")</f>
        <v/>
      </c>
      <c r="AC4">
        <f>HYPERLINK("https://klasma.github.io/Logging_1962/tillsyn/A 62471-2023 tillsynsbegäran.docx", "A 62471-2023")</f>
        <v/>
      </c>
      <c r="AD4">
        <f>HYPERLINK("https://klasma.github.io/Logging_1962/tillsynsmail/A 62471-2023 tillsynsbegäran mail.docx", "A 62471-2023")</f>
        <v/>
      </c>
    </row>
    <row r="5" ht="15" customHeight="1">
      <c r="A5" t="inlineStr">
        <is>
          <t>A 31484-2026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46223</v>
      </c>
      <c r="E5" s="1" t="n">
        <v>46314</v>
      </c>
      <c r="F5" t="inlineStr">
        <is>
          <t>VÄSTMANLANDS LÄN</t>
        </is>
      </c>
      <c r="G5" t="inlineStr">
        <is>
          <t>NORBERG</t>
        </is>
      </c>
      <c r="I5" t="n">
        <v>11.7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3</v>
      </c>
      <c r="U5" t="n">
        <v>0</v>
      </c>
      <c r="V5" s="2" t="inlineStr">
        <is>
          <t>Bårdlav
Korallblylav
Rävticka</t>
        </is>
      </c>
      <c r="W5">
        <f>HYPERLINK("https://klasma.github.io/Logging_1962/artfynd/A 31484-2026 artfynd.xlsx", "A 31484-2026")</f>
        <v/>
      </c>
      <c r="X5">
        <f>HYPERLINK("https://klasma.github.io/Logging_1962/kartor/A 31484-2026 karta.png", "A 31484-2026")</f>
        <v/>
      </c>
      <c r="Y5">
        <f>HYPERLINK("https://klasma.github.io/Logging_1962/kartor_geotiff/A 31484-2026 georefererad karta.tif", "A 31484-2026")</f>
        <v/>
      </c>
      <c r="AA5">
        <f>HYPERLINK("https://klasma.github.io/Logging_1962/klagomål/A 31484-2026 FSC-klagomål.docx", "A 31484-2026")</f>
        <v/>
      </c>
      <c r="AB5">
        <f>HYPERLINK("https://klasma.github.io/Logging_1962/klagomålsmail/A 31484-2026 FSC-klagomål mail.docx", "A 31484-2026")</f>
        <v/>
      </c>
      <c r="AC5">
        <f>HYPERLINK("https://klasma.github.io/Logging_1962/tillsyn/A 31484-2026 tillsynsbegäran.docx", "A 31484-2026")</f>
        <v/>
      </c>
      <c r="AD5">
        <f>HYPERLINK("https://klasma.github.io/Logging_1962/tillsynsmail/A 31484-2026 tillsynsbegäran mail.docx", "A 31484-2026")</f>
        <v/>
      </c>
    </row>
    <row r="6" ht="15" customHeight="1">
      <c r="A6" t="inlineStr">
        <is>
          <t>A 18128-2024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45420</v>
      </c>
      <c r="E6" s="1" t="n">
        <v>46314</v>
      </c>
      <c r="F6" t="inlineStr">
        <is>
          <t>VÄSTMANLANDS LÄN</t>
        </is>
      </c>
      <c r="G6" t="inlineStr">
        <is>
          <t>NORBERG</t>
        </is>
      </c>
      <c r="I6" t="n">
        <v>0.8</v>
      </c>
      <c r="J6" t="n">
        <v>2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2</v>
      </c>
      <c r="T6" t="n">
        <v>2</v>
      </c>
      <c r="U6" t="n">
        <v>2</v>
      </c>
      <c r="V6" s="2" t="inlineStr">
        <is>
          <t>Gulsparv
Fläcknycklar</t>
        </is>
      </c>
      <c r="W6">
        <f>HYPERLINK("https://klasma.github.io/Logging_1962/artfynd/A 18128-2024 artfynd.xlsx", "A 18128-2024")</f>
        <v/>
      </c>
      <c r="X6">
        <f>HYPERLINK("https://klasma.github.io/Logging_1962/kartor/A 18128-2024 karta.png", "A 18128-2024")</f>
        <v/>
      </c>
      <c r="Y6">
        <f>HYPERLINK("https://klasma.github.io/Logging_1962/kartor_geotiff/A 18128-2024 georefererad karta.tif", "A 18128-2024")</f>
        <v/>
      </c>
      <c r="AA6">
        <f>HYPERLINK("https://klasma.github.io/Logging_1962/klagomål/A 18128-2024 FSC-klagomål.docx", "A 18128-2024")</f>
        <v/>
      </c>
      <c r="AB6">
        <f>HYPERLINK("https://klasma.github.io/Logging_1962/klagomålsmail/A 18128-2024 FSC-klagomål mail.docx", "A 18128-2024")</f>
        <v/>
      </c>
      <c r="AC6">
        <f>HYPERLINK("https://klasma.github.io/Logging_1962/tillsyn/A 18128-2024 tillsynsbegäran.docx", "A 18128-2024")</f>
        <v/>
      </c>
      <c r="AD6">
        <f>HYPERLINK("https://klasma.github.io/Logging_1962/tillsynsmail/A 18128-2024 tillsynsbegäran mail.docx", "A 18128-2024")</f>
        <v/>
      </c>
      <c r="AE6">
        <f>HYPERLINK("https://klasma.github.io/Logging_1962/fåglar/A 18128-2024 prioriterade fågelarter.docx", "A 18128-2024")</f>
        <v/>
      </c>
    </row>
    <row r="7" ht="15" customHeight="1">
      <c r="A7" t="inlineStr">
        <is>
          <t>A 63777-2025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46019</v>
      </c>
      <c r="E7" s="1" t="n">
        <v>46314</v>
      </c>
      <c r="F7" t="inlineStr">
        <is>
          <t>VÄSTMANLANDS LÄN</t>
        </is>
      </c>
      <c r="G7" t="inlineStr">
        <is>
          <t>NORBERG</t>
        </is>
      </c>
      <c r="I7" t="n">
        <v>3.4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8</v>
      </c>
      <c r="U7" t="n">
        <v>8</v>
      </c>
      <c r="V7" s="2" t="inlineStr">
        <is>
          <t>Spillkråka
Fläcknycklar</t>
        </is>
      </c>
      <c r="W7">
        <f>HYPERLINK("https://klasma.github.io/Logging_1962/artfynd/A 63777-2025 artfynd.xlsx", "A 63777-2025")</f>
        <v/>
      </c>
      <c r="X7">
        <f>HYPERLINK("https://klasma.github.io/Logging_1962/kartor/A 63777-2025 karta.png", "A 63777-2025")</f>
        <v/>
      </c>
      <c r="Y7">
        <f>HYPERLINK("https://klasma.github.io/Logging_1962/kartor_geotiff/A 63777-2025 georefererad karta.tif", "A 63777-2025")</f>
        <v/>
      </c>
      <c r="AA7">
        <f>HYPERLINK("https://klasma.github.io/Logging_1962/klagomål/A 63777-2025 FSC-klagomål.docx", "A 63777-2025")</f>
        <v/>
      </c>
      <c r="AB7">
        <f>HYPERLINK("https://klasma.github.io/Logging_1962/klagomålsmail/A 63777-2025 FSC-klagomål mail.docx", "A 63777-2025")</f>
        <v/>
      </c>
      <c r="AC7">
        <f>HYPERLINK("https://klasma.github.io/Logging_1962/tillsyn/A 63777-2025 tillsynsbegäran.docx", "A 63777-2025")</f>
        <v/>
      </c>
      <c r="AD7">
        <f>HYPERLINK("https://klasma.github.io/Logging_1962/tillsynsmail/A 63777-2025 tillsynsbegäran mail.docx", "A 63777-2025")</f>
        <v/>
      </c>
      <c r="AE7">
        <f>HYPERLINK("https://klasma.github.io/Logging_1962/fåglar/A 63777-2025 prioriterade fågelarter.docx", "A 63777-2025")</f>
        <v/>
      </c>
    </row>
    <row r="8" ht="15" customHeight="1">
      <c r="A8" t="inlineStr">
        <is>
          <t>A 26072-2023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45091</v>
      </c>
      <c r="E8" s="1" t="n">
        <v>46314</v>
      </c>
      <c r="F8" t="inlineStr">
        <is>
          <t>VÄSTMANLANDS LÄN</t>
        </is>
      </c>
      <c r="G8" t="inlineStr">
        <is>
          <t>NORBERG</t>
        </is>
      </c>
      <c r="I8" t="n">
        <v>3.4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8</v>
      </c>
      <c r="U8" t="n">
        <v>8</v>
      </c>
      <c r="V8" s="2" t="inlineStr">
        <is>
          <t>Spillkråka
Fläcknycklar</t>
        </is>
      </c>
      <c r="W8">
        <f>HYPERLINK("https://klasma.github.io/Logging_1962/artfynd/A 26072-2023 artfynd.xlsx", "A 26072-2023")</f>
        <v/>
      </c>
      <c r="X8">
        <f>HYPERLINK("https://klasma.github.io/Logging_1962/kartor/A 26072-2023 karta.png", "A 26072-2023")</f>
        <v/>
      </c>
      <c r="Y8">
        <f>HYPERLINK("https://klasma.github.io/Logging_1962/kartor_geotiff/A 26072-2023 georefererad karta.tif", "A 26072-2023")</f>
        <v/>
      </c>
      <c r="AA8">
        <f>HYPERLINK("https://klasma.github.io/Logging_1962/klagomål/A 26072-2023 FSC-klagomål.docx", "A 26072-2023")</f>
        <v/>
      </c>
      <c r="AB8">
        <f>HYPERLINK("https://klasma.github.io/Logging_1962/klagomålsmail/A 26072-2023 FSC-klagomål mail.docx", "A 26072-2023")</f>
        <v/>
      </c>
      <c r="AC8">
        <f>HYPERLINK("https://klasma.github.io/Logging_1962/tillsyn/A 26072-2023 tillsynsbegäran.docx", "A 26072-2023")</f>
        <v/>
      </c>
      <c r="AD8">
        <f>HYPERLINK("https://klasma.github.io/Logging_1962/tillsynsmail/A 26072-2023 tillsynsbegäran mail.docx", "A 26072-2023")</f>
        <v/>
      </c>
      <c r="AE8">
        <f>HYPERLINK("https://klasma.github.io/Logging_1962/fåglar/A 26072-2023 prioriterade fågelarter.docx", "A 26072-2023")</f>
        <v/>
      </c>
    </row>
    <row r="9" ht="15" customHeight="1">
      <c r="A9" t="inlineStr">
        <is>
          <t>A 15262-2026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46105</v>
      </c>
      <c r="E9" s="1" t="n">
        <v>46314</v>
      </c>
      <c r="F9" t="inlineStr">
        <is>
          <t>VÄSTMANLANDS LÄN</t>
        </is>
      </c>
      <c r="G9" t="inlineStr">
        <is>
          <t>NORBERG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2</v>
      </c>
      <c r="T9" t="n">
        <v>3</v>
      </c>
      <c r="U9" t="n">
        <v>0</v>
      </c>
      <c r="V9" s="2" t="inlineStr">
        <is>
          <t>Brunklöver
Tvåblad</t>
        </is>
      </c>
      <c r="W9">
        <f>HYPERLINK("https://klasma.github.io/Logging_1962/artfynd/A 15262-2026 artfynd.xlsx", "A 15262-2026")</f>
        <v/>
      </c>
      <c r="X9">
        <f>HYPERLINK("https://klasma.github.io/Logging_1962/kartor/A 15262-2026 karta.png", "A 15262-2026")</f>
        <v/>
      </c>
      <c r="Y9">
        <f>HYPERLINK("https://klasma.github.io/Logging_1962/kartor_geotiff/A 15262-2026 georefererad karta.tif", "A 15262-2026")</f>
        <v/>
      </c>
      <c r="AA9">
        <f>HYPERLINK("https://klasma.github.io/Logging_1962/klagomål/A 15262-2026 FSC-klagomål.docx", "A 15262-2026")</f>
        <v/>
      </c>
      <c r="AB9">
        <f>HYPERLINK("https://klasma.github.io/Logging_1962/klagomålsmail/A 15262-2026 FSC-klagomål mail.docx", "A 15262-2026")</f>
        <v/>
      </c>
      <c r="AC9">
        <f>HYPERLINK("https://klasma.github.io/Logging_1962/tillsyn/A 15262-2026 tillsynsbegäran.docx", "A 15262-2026")</f>
        <v/>
      </c>
      <c r="AD9">
        <f>HYPERLINK("https://klasma.github.io/Logging_1962/tillsynsmail/A 15262-2026 tillsynsbegäran mail.docx", "A 15262-2026")</f>
        <v/>
      </c>
    </row>
    <row r="10" ht="15" customHeight="1">
      <c r="A10" t="inlineStr">
        <is>
          <t>A 55711-2024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45622</v>
      </c>
      <c r="E10" s="1" t="n">
        <v>46314</v>
      </c>
      <c r="F10" t="inlineStr">
        <is>
          <t>VÄSTMANLANDS LÄN</t>
        </is>
      </c>
      <c r="G10" t="inlineStr">
        <is>
          <t>NORBERG</t>
        </is>
      </c>
      <c r="I10" t="n">
        <v>2.5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2</v>
      </c>
      <c r="U10" t="n">
        <v>0</v>
      </c>
      <c r="V10" s="2" t="inlineStr">
        <is>
          <t>Persiljespindling
Skogsknipprot</t>
        </is>
      </c>
      <c r="W10">
        <f>HYPERLINK("https://klasma.github.io/Logging_1962/artfynd/A 55711-2024 artfynd.xlsx", "A 55711-2024")</f>
        <v/>
      </c>
      <c r="X10">
        <f>HYPERLINK("https://klasma.github.io/Logging_1962/kartor/A 55711-2024 karta.png", "A 55711-2024")</f>
        <v/>
      </c>
      <c r="Y10">
        <f>HYPERLINK("https://klasma.github.io/Logging_1962/kartor_geotiff/A 55711-2024 georefererad karta.tif", "A 55711-2024")</f>
        <v/>
      </c>
      <c r="AA10">
        <f>HYPERLINK("https://klasma.github.io/Logging_1962/klagomål/A 55711-2024 FSC-klagomål.docx", "A 55711-2024")</f>
        <v/>
      </c>
      <c r="AB10">
        <f>HYPERLINK("https://klasma.github.io/Logging_1962/klagomålsmail/A 55711-2024 FSC-klagomål mail.docx", "A 55711-2024")</f>
        <v/>
      </c>
      <c r="AC10">
        <f>HYPERLINK("https://klasma.github.io/Logging_1962/tillsyn/A 55711-2024 tillsynsbegäran.docx", "A 55711-2024")</f>
        <v/>
      </c>
      <c r="AD10">
        <f>HYPERLINK("https://klasma.github.io/Logging_1962/tillsynsmail/A 55711-2024 tillsynsbegäran mail.docx", "A 55711-2024")</f>
        <v/>
      </c>
    </row>
    <row r="11" ht="15" customHeight="1">
      <c r="A11" t="inlineStr">
        <is>
          <t>A 33377-2023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45128</v>
      </c>
      <c r="E11" s="1" t="n">
        <v>46314</v>
      </c>
      <c r="F11" t="inlineStr">
        <is>
          <t>VÄSTMANLANDS LÄN</t>
        </is>
      </c>
      <c r="G11" t="inlineStr">
        <is>
          <t>NORBERG</t>
        </is>
      </c>
      <c r="H11" t="inlineStr">
        <is>
          <t>Sveaskog</t>
        </is>
      </c>
      <c r="I11" t="n">
        <v>1.7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2</v>
      </c>
      <c r="T11" t="n">
        <v>2</v>
      </c>
      <c r="U11" t="n">
        <v>2</v>
      </c>
      <c r="V11" s="2" t="inlineStr">
        <is>
          <t>Gul taggsvamp
Dofttaggsvamp</t>
        </is>
      </c>
      <c r="W11">
        <f>HYPERLINK("https://klasma.github.io/Logging_1962/artfynd/A 33377-2023 artfynd.xlsx", "A 33377-2023")</f>
        <v/>
      </c>
      <c r="X11">
        <f>HYPERLINK("https://klasma.github.io/Logging_1962/kartor/A 33377-2023 karta.png", "A 33377-2023")</f>
        <v/>
      </c>
      <c r="Y11">
        <f>HYPERLINK("https://klasma.github.io/Logging_1962/kartor_geotiff/A 33377-2023 georefererad karta.tif", "A 33377-2023")</f>
        <v/>
      </c>
      <c r="AA11">
        <f>HYPERLINK("https://klasma.github.io/Logging_1962/klagomål/A 33377-2023 FSC-klagomål.docx", "A 33377-2023")</f>
        <v/>
      </c>
      <c r="AB11">
        <f>HYPERLINK("https://klasma.github.io/Logging_1962/klagomålsmail/A 33377-2023 FSC-klagomål mail.docx", "A 33377-2023")</f>
        <v/>
      </c>
      <c r="AC11">
        <f>HYPERLINK("https://klasma.github.io/Logging_1962/tillsyn/A 33377-2023 tillsynsbegäran.docx", "A 33377-2023")</f>
        <v/>
      </c>
      <c r="AD11">
        <f>HYPERLINK("https://klasma.github.io/Logging_1962/tillsynsmail/A 33377-2023 tillsynsbegäran mail.docx", "A 33377-2023")</f>
        <v/>
      </c>
    </row>
    <row r="12" ht="15" customHeight="1">
      <c r="A12" t="inlineStr">
        <is>
          <t>A 41901-2026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46303</v>
      </c>
      <c r="E12" s="1" t="n">
        <v>46314</v>
      </c>
      <c r="F12" t="inlineStr">
        <is>
          <t>VÄSTMANLANDS LÄN</t>
        </is>
      </c>
      <c r="G12" t="inlineStr">
        <is>
          <t>NORBERG</t>
        </is>
      </c>
      <c r="H12" t="inlineStr">
        <is>
          <t>Sveaskog</t>
        </is>
      </c>
      <c r="I12" t="n">
        <v>8.5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3</v>
      </c>
      <c r="U12" t="n">
        <v>0</v>
      </c>
      <c r="V12" s="2" t="inlineStr">
        <is>
          <t>Skogshakmossa
Fläcknycklar</t>
        </is>
      </c>
      <c r="W12">
        <f>HYPERLINK("https://klasma.github.io/Logging_1962/artfynd/A 41901-2026 artfynd.xlsx", "A 41901-2026")</f>
        <v/>
      </c>
      <c r="X12">
        <f>HYPERLINK("https://klasma.github.io/Logging_1962/kartor/A 41901-2026 karta.png", "A 41901-2026")</f>
        <v/>
      </c>
      <c r="Y12">
        <f>HYPERLINK("https://klasma.github.io/Logging_1962/kartor_geotiff/A 41901-2026 georefererad karta.tif", "A 41901-2026")</f>
        <v/>
      </c>
      <c r="AA12">
        <f>HYPERLINK("https://klasma.github.io/Logging_1962/klagomål/A 41901-2026 FSC-klagomål.docx", "A 41901-2026")</f>
        <v/>
      </c>
      <c r="AB12">
        <f>HYPERLINK("https://klasma.github.io/Logging_1962/klagomålsmail/A 41901-2026 FSC-klagomål mail.docx", "A 41901-2026")</f>
        <v/>
      </c>
      <c r="AC12">
        <f>HYPERLINK("https://klasma.github.io/Logging_1962/tillsyn/A 41901-2026 tillsynsbegäran.docx", "A 41901-2026")</f>
        <v/>
      </c>
      <c r="AD12">
        <f>HYPERLINK("https://klasma.github.io/Logging_1962/tillsynsmail/A 41901-2026 tillsynsbegäran mail.docx", "A 41901-2026")</f>
        <v/>
      </c>
    </row>
    <row r="13" ht="15" customHeight="1">
      <c r="A13" t="inlineStr">
        <is>
          <t>A 36009-2026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46266</v>
      </c>
      <c r="E13" s="1" t="n">
        <v>46314</v>
      </c>
      <c r="F13" t="inlineStr">
        <is>
          <t>VÄSTMANLANDS LÄN</t>
        </is>
      </c>
      <c r="G13" t="inlineStr">
        <is>
          <t>NORBERG</t>
        </is>
      </c>
      <c r="H13" t="inlineStr">
        <is>
          <t>Sveaskog</t>
        </is>
      </c>
      <c r="I13" t="n">
        <v>8.6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1</v>
      </c>
      <c r="V13" s="2" t="inlineStr">
        <is>
          <t>Plattlummer
Gullviva</t>
        </is>
      </c>
      <c r="W13">
        <f>HYPERLINK("https://klasma.github.io/Logging_1962/artfynd/A 36009-2026 artfynd.xlsx", "A 36009-2026")</f>
        <v/>
      </c>
      <c r="X13">
        <f>HYPERLINK("https://klasma.github.io/Logging_1962/kartor/A 36009-2026 karta.png", "A 36009-2026")</f>
        <v/>
      </c>
      <c r="Y13">
        <f>HYPERLINK("https://klasma.github.io/Logging_1962/kartor_geotiff/A 36009-2026 georefererad karta.tif", "A 36009-2026")</f>
        <v/>
      </c>
      <c r="AA13">
        <f>HYPERLINK("https://klasma.github.io/Logging_1962/klagomål/A 36009-2026 FSC-klagomål.docx", "A 36009-2026")</f>
        <v/>
      </c>
      <c r="AB13">
        <f>HYPERLINK("https://klasma.github.io/Logging_1962/klagomålsmail/A 36009-2026 FSC-klagomål mail.docx", "A 36009-2026")</f>
        <v/>
      </c>
      <c r="AC13">
        <f>HYPERLINK("https://klasma.github.io/Logging_1962/tillsyn/A 36009-2026 tillsynsbegäran.docx", "A 36009-2026")</f>
        <v/>
      </c>
      <c r="AD13">
        <f>HYPERLINK("https://klasma.github.io/Logging_1962/tillsynsmail/A 36009-2026 tillsynsbegäran mail.docx", "A 36009-2026")</f>
        <v/>
      </c>
    </row>
    <row r="14" ht="15" customHeight="1">
      <c r="A14" t="inlineStr">
        <is>
          <t>A 9872-2022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44620</v>
      </c>
      <c r="E14" s="1" t="n">
        <v>46314</v>
      </c>
      <c r="F14" t="inlineStr">
        <is>
          <t>VÄSTMANLANDS LÄN</t>
        </is>
      </c>
      <c r="G14" t="inlineStr">
        <is>
          <t>NORBERG</t>
        </is>
      </c>
      <c r="I14" t="n">
        <v>0.7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Mindre vattensalamander</t>
        </is>
      </c>
      <c r="W14">
        <f>HYPERLINK("https://klasma.github.io/Logging_1962/artfynd/A 9872-2022 artfynd.xlsx", "A 9872-2022")</f>
        <v/>
      </c>
      <c r="X14">
        <f>HYPERLINK("https://klasma.github.io/Logging_1962/kartor/A 9872-2022 karta.png", "A 9872-2022")</f>
        <v/>
      </c>
      <c r="Y14">
        <f>HYPERLINK("https://klasma.github.io/Logging_1962/kartor_geotiff/A 9872-2022 georefererad karta.tif", "A 9872-2022")</f>
        <v/>
      </c>
      <c r="AA14">
        <f>HYPERLINK("https://klasma.github.io/Logging_1962/klagomål/A 9872-2022 FSC-klagomål.docx", "A 9872-2022")</f>
        <v/>
      </c>
      <c r="AB14">
        <f>HYPERLINK("https://klasma.github.io/Logging_1962/klagomålsmail/A 9872-2022 FSC-klagomål mail.docx", "A 9872-2022")</f>
        <v/>
      </c>
      <c r="AC14">
        <f>HYPERLINK("https://klasma.github.io/Logging_1962/tillsyn/A 9872-2022 tillsynsbegäran.docx", "A 9872-2022")</f>
        <v/>
      </c>
      <c r="AD14">
        <f>HYPERLINK("https://klasma.github.io/Logging_1962/tillsynsmail/A 9872-2022 tillsynsbegäran mail.docx", "A 9872-2022")</f>
        <v/>
      </c>
    </row>
    <row r="15" ht="15" customHeight="1">
      <c r="A15" t="inlineStr">
        <is>
          <t>A 20257-2025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45773</v>
      </c>
      <c r="E15" s="1" t="n">
        <v>46314</v>
      </c>
      <c r="F15" t="inlineStr">
        <is>
          <t>VÄSTMANLANDS LÄN</t>
        </is>
      </c>
      <c r="G15" t="inlineStr">
        <is>
          <t>NORBERG</t>
        </is>
      </c>
      <c r="H15" t="inlineStr">
        <is>
          <t>Sveaskog</t>
        </is>
      </c>
      <c r="I15" t="n">
        <v>1.5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s="2" t="inlineStr">
        <is>
          <t>Plattlummer</t>
        </is>
      </c>
      <c r="W15">
        <f>HYPERLINK("https://klasma.github.io/Logging_1962/artfynd/A 20257-2025 artfynd.xlsx", "A 20257-2025")</f>
        <v/>
      </c>
      <c r="X15">
        <f>HYPERLINK("https://klasma.github.io/Logging_1962/kartor/A 20257-2025 karta.png", "A 20257-2025")</f>
        <v/>
      </c>
      <c r="Y15">
        <f>HYPERLINK("https://klasma.github.io/Logging_1962/kartor_geotiff/A 20257-2025 georefererad karta.tif", "A 20257-2025")</f>
        <v/>
      </c>
      <c r="AA15">
        <f>HYPERLINK("https://klasma.github.io/Logging_1962/klagomål/A 20257-2025 FSC-klagomål.docx", "A 20257-2025")</f>
        <v/>
      </c>
      <c r="AB15">
        <f>HYPERLINK("https://klasma.github.io/Logging_1962/klagomålsmail/A 20257-2025 FSC-klagomål mail.docx", "A 20257-2025")</f>
        <v/>
      </c>
      <c r="AC15">
        <f>HYPERLINK("https://klasma.github.io/Logging_1962/tillsyn/A 20257-2025 tillsynsbegäran.docx", "A 20257-2025")</f>
        <v/>
      </c>
      <c r="AD15">
        <f>HYPERLINK("https://klasma.github.io/Logging_1962/tillsynsmail/A 20257-2025 tillsynsbegäran mail.docx", "A 20257-2025")</f>
        <v/>
      </c>
    </row>
    <row r="16" ht="15" customHeight="1">
      <c r="A16" t="inlineStr">
        <is>
          <t>A 15107-2025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45744</v>
      </c>
      <c r="E16" s="1" t="n">
        <v>46314</v>
      </c>
      <c r="F16" t="inlineStr">
        <is>
          <t>VÄSTMANLANDS LÄN</t>
        </is>
      </c>
      <c r="G16" t="inlineStr">
        <is>
          <t>NORBERG</t>
        </is>
      </c>
      <c r="H16" t="inlineStr">
        <is>
          <t>Sveaskog</t>
        </is>
      </c>
      <c r="I16" t="n">
        <v>0.9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Blåsippa</t>
        </is>
      </c>
      <c r="W16">
        <f>HYPERLINK("https://klasma.github.io/Logging_1962/artfynd/A 15107-2025 artfynd.xlsx", "A 15107-2025")</f>
        <v/>
      </c>
      <c r="X16">
        <f>HYPERLINK("https://klasma.github.io/Logging_1962/kartor/A 15107-2025 karta.png", "A 15107-2025")</f>
        <v/>
      </c>
      <c r="Y16">
        <f>HYPERLINK("https://klasma.github.io/Logging_1962/kartor_geotiff/A 15107-2025 georefererad karta.tif", "A 15107-2025")</f>
        <v/>
      </c>
      <c r="AA16">
        <f>HYPERLINK("https://klasma.github.io/Logging_1962/klagomål/A 15107-2025 FSC-klagomål.docx", "A 15107-2025")</f>
        <v/>
      </c>
      <c r="AB16">
        <f>HYPERLINK("https://klasma.github.io/Logging_1962/klagomålsmail/A 15107-2025 FSC-klagomål mail.docx", "A 15107-2025")</f>
        <v/>
      </c>
      <c r="AC16">
        <f>HYPERLINK("https://klasma.github.io/Logging_1962/tillsyn/A 15107-2025 tillsynsbegäran.docx", "A 15107-2025")</f>
        <v/>
      </c>
      <c r="AD16">
        <f>HYPERLINK("https://klasma.github.io/Logging_1962/tillsynsmail/A 15107-2025 tillsynsbegäran mail.docx", "A 15107-2025")</f>
        <v/>
      </c>
    </row>
    <row r="17" ht="15" customHeight="1">
      <c r="A17" t="inlineStr">
        <is>
          <t>A 61099-2024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45644</v>
      </c>
      <c r="E17" s="1" t="n">
        <v>46314</v>
      </c>
      <c r="F17" t="inlineStr">
        <is>
          <t>VÄSTMANLANDS LÄN</t>
        </is>
      </c>
      <c r="G17" t="inlineStr">
        <is>
          <t>NORBERG</t>
        </is>
      </c>
      <c r="I17" t="n">
        <v>0.4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Blåsippa</t>
        </is>
      </c>
      <c r="W17">
        <f>HYPERLINK("https://klasma.github.io/Logging_1962/artfynd/A 61099-2024 artfynd.xlsx", "A 61099-2024")</f>
        <v/>
      </c>
      <c r="X17">
        <f>HYPERLINK("https://klasma.github.io/Logging_1962/kartor/A 61099-2024 karta.png", "A 61099-2024")</f>
        <v/>
      </c>
      <c r="Y17">
        <f>HYPERLINK("https://klasma.github.io/Logging_1962/kartor_geotiff/A 61099-2024 georefererad karta.tif", "A 61099-2024")</f>
        <v/>
      </c>
      <c r="AA17">
        <f>HYPERLINK("https://klasma.github.io/Logging_1962/klagomål/A 61099-2024 FSC-klagomål.docx", "A 61099-2024")</f>
        <v/>
      </c>
      <c r="AB17">
        <f>HYPERLINK("https://klasma.github.io/Logging_1962/klagomålsmail/A 61099-2024 FSC-klagomål mail.docx", "A 61099-2024")</f>
        <v/>
      </c>
      <c r="AC17">
        <f>HYPERLINK("https://klasma.github.io/Logging_1962/tillsyn/A 61099-2024 tillsynsbegäran.docx", "A 61099-2024")</f>
        <v/>
      </c>
      <c r="AD17">
        <f>HYPERLINK("https://klasma.github.io/Logging_1962/tillsynsmail/A 61099-2024 tillsynsbegäran mail.docx", "A 61099-2024")</f>
        <v/>
      </c>
    </row>
    <row r="18" ht="15" customHeight="1">
      <c r="A18" t="inlineStr">
        <is>
          <t>A 20407-2026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46139</v>
      </c>
      <c r="E18" s="1" t="n">
        <v>46314</v>
      </c>
      <c r="F18" t="inlineStr">
        <is>
          <t>VÄSTMANLANDS LÄN</t>
        </is>
      </c>
      <c r="G18" t="inlineStr">
        <is>
          <t>NORBERG</t>
        </is>
      </c>
      <c r="I18" t="n">
        <v>1.3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s="2" t="inlineStr">
        <is>
          <t>Spillkråka</t>
        </is>
      </c>
      <c r="W18">
        <f>HYPERLINK("https://klasma.github.io/Logging_1962/artfynd/A 20407-2026 artfynd.xlsx", "A 20407-2026")</f>
        <v/>
      </c>
      <c r="X18">
        <f>HYPERLINK("https://klasma.github.io/Logging_1962/kartor/A 20407-2026 karta.png", "A 20407-2026")</f>
        <v/>
      </c>
      <c r="Y18">
        <f>HYPERLINK("https://klasma.github.io/Logging_1962/kartor_geotiff/A 20407-2026 georefererad karta.tif", "A 20407-2026")</f>
        <v/>
      </c>
      <c r="AA18">
        <f>HYPERLINK("https://klasma.github.io/Logging_1962/klagomål/A 20407-2026 FSC-klagomål.docx", "A 20407-2026")</f>
        <v/>
      </c>
      <c r="AB18">
        <f>HYPERLINK("https://klasma.github.io/Logging_1962/klagomålsmail/A 20407-2026 FSC-klagomål mail.docx", "A 20407-2026")</f>
        <v/>
      </c>
      <c r="AC18">
        <f>HYPERLINK("https://klasma.github.io/Logging_1962/tillsyn/A 20407-2026 tillsynsbegäran.docx", "A 20407-2026")</f>
        <v/>
      </c>
      <c r="AD18">
        <f>HYPERLINK("https://klasma.github.io/Logging_1962/tillsynsmail/A 20407-2026 tillsynsbegäran mail.docx", "A 20407-2026")</f>
        <v/>
      </c>
      <c r="AE18">
        <f>HYPERLINK("https://klasma.github.io/Logging_1962/fåglar/A 20407-2026 prioriterade fågelarter.docx", "A 20407-2026")</f>
        <v/>
      </c>
    </row>
    <row r="19" ht="15" customHeight="1">
      <c r="A19" t="inlineStr">
        <is>
          <t>A 34967-2023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45142</v>
      </c>
      <c r="E19" s="1" t="n">
        <v>46314</v>
      </c>
      <c r="F19" t="inlineStr">
        <is>
          <t>VÄSTMANLANDS LÄN</t>
        </is>
      </c>
      <c r="G19" t="inlineStr">
        <is>
          <t>NORBERG</t>
        </is>
      </c>
      <c r="H19" t="inlineStr">
        <is>
          <t>Kyrkan</t>
        </is>
      </c>
      <c r="I19" t="n">
        <v>0.6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s="2" t="inlineStr">
        <is>
          <t>Skogsklocka</t>
        </is>
      </c>
      <c r="W19">
        <f>HYPERLINK("https://klasma.github.io/Logging_1962/artfynd/A 34967-2023 artfynd.xlsx", "A 34967-2023")</f>
        <v/>
      </c>
      <c r="X19">
        <f>HYPERLINK("https://klasma.github.io/Logging_1962/kartor/A 34967-2023 karta.png", "A 34967-2023")</f>
        <v/>
      </c>
      <c r="Y19">
        <f>HYPERLINK("https://klasma.github.io/Logging_1962/kartor_geotiff/A 34967-2023 georefererad karta.tif", "A 34967-2023")</f>
        <v/>
      </c>
      <c r="AA19">
        <f>HYPERLINK("https://klasma.github.io/Logging_1962/klagomål/A 34967-2023 FSC-klagomål.docx", "A 34967-2023")</f>
        <v/>
      </c>
      <c r="AB19">
        <f>HYPERLINK("https://klasma.github.io/Logging_1962/klagomålsmail/A 34967-2023 FSC-klagomål mail.docx", "A 34967-2023")</f>
        <v/>
      </c>
      <c r="AC19">
        <f>HYPERLINK("https://klasma.github.io/Logging_1962/tillsyn/A 34967-2023 tillsynsbegäran.docx", "A 34967-2023")</f>
        <v/>
      </c>
      <c r="AD19">
        <f>HYPERLINK("https://klasma.github.io/Logging_1962/tillsynsmail/A 34967-2023 tillsynsbegäran mail.docx", "A 34967-2023")</f>
        <v/>
      </c>
    </row>
    <row r="20" ht="15" customHeight="1">
      <c r="A20" t="inlineStr">
        <is>
          <t>A 18464-2025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45762</v>
      </c>
      <c r="E20" s="1" t="n">
        <v>46314</v>
      </c>
      <c r="F20" t="inlineStr">
        <is>
          <t>VÄSTMANLANDS LÄN</t>
        </is>
      </c>
      <c r="G20" t="inlineStr">
        <is>
          <t>NORBERG</t>
        </is>
      </c>
      <c r="H20" t="inlineStr">
        <is>
          <t>Sveaskog</t>
        </is>
      </c>
      <c r="I20" t="n">
        <v>1.1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0</v>
      </c>
      <c r="V20" s="2" t="inlineStr">
        <is>
          <t>Skogsknipprot</t>
        </is>
      </c>
      <c r="W20">
        <f>HYPERLINK("https://klasma.github.io/Logging_1962/artfynd/A 18464-2025 artfynd.xlsx", "A 18464-2025")</f>
        <v/>
      </c>
      <c r="X20">
        <f>HYPERLINK("https://klasma.github.io/Logging_1962/kartor/A 18464-2025 karta.png", "A 18464-2025")</f>
        <v/>
      </c>
      <c r="Y20">
        <f>HYPERLINK("https://klasma.github.io/Logging_1962/kartor_geotiff/A 18464-2025 georefererad karta.tif", "A 18464-2025")</f>
        <v/>
      </c>
      <c r="AA20">
        <f>HYPERLINK("https://klasma.github.io/Logging_1962/klagomål/A 18464-2025 FSC-klagomål.docx", "A 18464-2025")</f>
        <v/>
      </c>
      <c r="AB20">
        <f>HYPERLINK("https://klasma.github.io/Logging_1962/klagomålsmail/A 18464-2025 FSC-klagomål mail.docx", "A 18464-2025")</f>
        <v/>
      </c>
      <c r="AC20">
        <f>HYPERLINK("https://klasma.github.io/Logging_1962/tillsyn/A 18464-2025 tillsynsbegäran.docx", "A 18464-2025")</f>
        <v/>
      </c>
      <c r="AD20">
        <f>HYPERLINK("https://klasma.github.io/Logging_1962/tillsynsmail/A 18464-2025 tillsynsbegäran mail.docx", "A 18464-2025")</f>
        <v/>
      </c>
    </row>
    <row r="21" ht="15" customHeight="1">
      <c r="A21" t="inlineStr">
        <is>
          <t>A 28307-2026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46196</v>
      </c>
      <c r="E21" s="1" t="n">
        <v>46314</v>
      </c>
      <c r="F21" t="inlineStr">
        <is>
          <t>VÄSTMANLANDS LÄN</t>
        </is>
      </c>
      <c r="G21" t="inlineStr">
        <is>
          <t>NORBERG</t>
        </is>
      </c>
      <c r="H21" t="inlineStr">
        <is>
          <t>Sveaskog</t>
        </is>
      </c>
      <c r="I21" t="n">
        <v>2.4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Plattlummer</t>
        </is>
      </c>
      <c r="W21">
        <f>HYPERLINK("https://klasma.github.io/Logging_1962/artfynd/A 28307-2026 artfynd.xlsx", "A 28307-2026")</f>
        <v/>
      </c>
      <c r="X21">
        <f>HYPERLINK("https://klasma.github.io/Logging_1962/kartor/A 28307-2026 karta.png", "A 28307-2026")</f>
        <v/>
      </c>
      <c r="Y21">
        <f>HYPERLINK("https://klasma.github.io/Logging_1962/kartor_geotiff/A 28307-2026 georefererad karta.tif", "A 28307-2026")</f>
        <v/>
      </c>
      <c r="AA21">
        <f>HYPERLINK("https://klasma.github.io/Logging_1962/klagomål/A 28307-2026 FSC-klagomål.docx", "A 28307-2026")</f>
        <v/>
      </c>
      <c r="AB21">
        <f>HYPERLINK("https://klasma.github.io/Logging_1962/klagomålsmail/A 28307-2026 FSC-klagomål mail.docx", "A 28307-2026")</f>
        <v/>
      </c>
      <c r="AC21">
        <f>HYPERLINK("https://klasma.github.io/Logging_1962/tillsyn/A 28307-2026 tillsynsbegäran.docx", "A 28307-2026")</f>
        <v/>
      </c>
      <c r="AD21">
        <f>HYPERLINK("https://klasma.github.io/Logging_1962/tillsynsmail/A 28307-2026 tillsynsbegäran mail.docx", "A 28307-2026")</f>
        <v/>
      </c>
    </row>
    <row r="22" ht="15" customHeight="1">
      <c r="A22" t="inlineStr">
        <is>
          <t>A 52063-2022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44873</v>
      </c>
      <c r="E22" s="1" t="n">
        <v>46314</v>
      </c>
      <c r="F22" t="inlineStr">
        <is>
          <t>VÄSTMANLANDS LÄN</t>
        </is>
      </c>
      <c r="G22" t="inlineStr">
        <is>
          <t>NORBERG</t>
        </is>
      </c>
      <c r="I22" t="n">
        <v>0.8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Blåsippa</t>
        </is>
      </c>
      <c r="W22">
        <f>HYPERLINK("https://klasma.github.io/Logging_1962/artfynd/A 52063-2022 artfynd.xlsx", "A 52063-2022")</f>
        <v/>
      </c>
      <c r="X22">
        <f>HYPERLINK("https://klasma.github.io/Logging_1962/kartor/A 52063-2022 karta.png", "A 52063-2022")</f>
        <v/>
      </c>
      <c r="Y22">
        <f>HYPERLINK("https://klasma.github.io/Logging_1962/kartor_geotiff/A 52063-2022 georefererad karta.tif", "A 52063-2022")</f>
        <v/>
      </c>
      <c r="AA22">
        <f>HYPERLINK("https://klasma.github.io/Logging_1962/klagomål/A 52063-2022 FSC-klagomål.docx", "A 52063-2022")</f>
        <v/>
      </c>
      <c r="AB22">
        <f>HYPERLINK("https://klasma.github.io/Logging_1962/klagomålsmail/A 52063-2022 FSC-klagomål mail.docx", "A 52063-2022")</f>
        <v/>
      </c>
      <c r="AC22">
        <f>HYPERLINK("https://klasma.github.io/Logging_1962/tillsyn/A 52063-2022 tillsynsbegäran.docx", "A 52063-2022")</f>
        <v/>
      </c>
      <c r="AD22">
        <f>HYPERLINK("https://klasma.github.io/Logging_1962/tillsynsmail/A 52063-2022 tillsynsbegäran mail.docx", "A 52063-2022")</f>
        <v/>
      </c>
    </row>
    <row r="23" ht="15" customHeight="1">
      <c r="A23" t="inlineStr">
        <is>
          <t>A 38927-2026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46282</v>
      </c>
      <c r="E23" s="1" t="n">
        <v>46314</v>
      </c>
      <c r="F23" t="inlineStr">
        <is>
          <t>VÄSTMANLANDS LÄN</t>
        </is>
      </c>
      <c r="G23" t="inlineStr">
        <is>
          <t>NORBERG</t>
        </is>
      </c>
      <c r="I23" t="n">
        <v>2.9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Svart trolldruva</t>
        </is>
      </c>
      <c r="W23">
        <f>HYPERLINK("https://klasma.github.io/Logging_1962/artfynd/A 38927-2026 artfynd.xlsx", "A 38927-2026")</f>
        <v/>
      </c>
      <c r="X23">
        <f>HYPERLINK("https://klasma.github.io/Logging_1962/kartor/A 38927-2026 karta.png", "A 38927-2026")</f>
        <v/>
      </c>
      <c r="Y23">
        <f>HYPERLINK("https://klasma.github.io/Logging_1962/kartor_geotiff/A 38927-2026 georefererad karta.tif", "A 38927-2026")</f>
        <v/>
      </c>
      <c r="AA23">
        <f>HYPERLINK("https://klasma.github.io/Logging_1962/klagomål/A 38927-2026 FSC-klagomål.docx", "A 38927-2026")</f>
        <v/>
      </c>
      <c r="AB23">
        <f>HYPERLINK("https://klasma.github.io/Logging_1962/klagomålsmail/A 38927-2026 FSC-klagomål mail.docx", "A 38927-2026")</f>
        <v/>
      </c>
      <c r="AC23">
        <f>HYPERLINK("https://klasma.github.io/Logging_1962/tillsyn/A 38927-2026 tillsynsbegäran.docx", "A 38927-2026")</f>
        <v/>
      </c>
      <c r="AD23">
        <f>HYPERLINK("https://klasma.github.io/Logging_1962/tillsynsmail/A 38927-2026 tillsynsbegäran mail.docx", "A 38927-2026")</f>
        <v/>
      </c>
    </row>
    <row r="24" ht="15" customHeight="1">
      <c r="A24" t="inlineStr">
        <is>
          <t>A 34230-2026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46253</v>
      </c>
      <c r="E24" s="1" t="n">
        <v>46314</v>
      </c>
      <c r="F24" t="inlineStr">
        <is>
          <t>VÄSTMANLANDS LÄN</t>
        </is>
      </c>
      <c r="G24" t="inlineStr">
        <is>
          <t>NORBERG</t>
        </is>
      </c>
      <c r="I24" t="n">
        <v>2.4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Tvåblad</t>
        </is>
      </c>
      <c r="W24">
        <f>HYPERLINK("https://klasma.github.io/Logging_1962/artfynd/A 34230-2026 artfynd.xlsx", "A 34230-2026")</f>
        <v/>
      </c>
      <c r="X24">
        <f>HYPERLINK("https://klasma.github.io/Logging_1962/kartor/A 34230-2026 karta.png", "A 34230-2026")</f>
        <v/>
      </c>
      <c r="Y24">
        <f>HYPERLINK("https://klasma.github.io/Logging_1962/kartor_geotiff/A 34230-2026 georefererad karta.tif", "A 34230-2026")</f>
        <v/>
      </c>
      <c r="AA24">
        <f>HYPERLINK("https://klasma.github.io/Logging_1962/klagomål/A 34230-2026 FSC-klagomål.docx", "A 34230-2026")</f>
        <v/>
      </c>
      <c r="AB24">
        <f>HYPERLINK("https://klasma.github.io/Logging_1962/klagomålsmail/A 34230-2026 FSC-klagomål mail.docx", "A 34230-2026")</f>
        <v/>
      </c>
      <c r="AC24">
        <f>HYPERLINK("https://klasma.github.io/Logging_1962/tillsyn/A 34230-2026 tillsynsbegäran.docx", "A 34230-2026")</f>
        <v/>
      </c>
      <c r="AD24">
        <f>HYPERLINK("https://klasma.github.io/Logging_1962/tillsynsmail/A 34230-2026 tillsynsbegäran mail.docx", "A 34230-2026")</f>
        <v/>
      </c>
    </row>
    <row r="25" ht="15" customHeight="1">
      <c r="A25" t="inlineStr">
        <is>
          <t>A 34234-2026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46253</v>
      </c>
      <c r="E25" s="1" t="n">
        <v>46314</v>
      </c>
      <c r="F25" t="inlineStr">
        <is>
          <t>VÄSTMANLANDS LÄN</t>
        </is>
      </c>
      <c r="G25" t="inlineStr">
        <is>
          <t>NORBERG</t>
        </is>
      </c>
      <c r="I25" t="n">
        <v>0.8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Tvåblad</t>
        </is>
      </c>
      <c r="W25">
        <f>HYPERLINK("https://klasma.github.io/Logging_1962/artfynd/A 34234-2026 artfynd.xlsx", "A 34234-2026")</f>
        <v/>
      </c>
      <c r="X25">
        <f>HYPERLINK("https://klasma.github.io/Logging_1962/kartor/A 34234-2026 karta.png", "A 34234-2026")</f>
        <v/>
      </c>
      <c r="Y25">
        <f>HYPERLINK("https://klasma.github.io/Logging_1962/kartor_geotiff/A 34234-2026 georefererad karta.tif", "A 34234-2026")</f>
        <v/>
      </c>
      <c r="AA25">
        <f>HYPERLINK("https://klasma.github.io/Logging_1962/klagomål/A 34234-2026 FSC-klagomål.docx", "A 34234-2026")</f>
        <v/>
      </c>
      <c r="AB25">
        <f>HYPERLINK("https://klasma.github.io/Logging_1962/klagomålsmail/A 34234-2026 FSC-klagomål mail.docx", "A 34234-2026")</f>
        <v/>
      </c>
      <c r="AC25">
        <f>HYPERLINK("https://klasma.github.io/Logging_1962/tillsyn/A 34234-2026 tillsynsbegäran.docx", "A 34234-2026")</f>
        <v/>
      </c>
      <c r="AD25">
        <f>HYPERLINK("https://klasma.github.io/Logging_1962/tillsynsmail/A 34234-2026 tillsynsbegäran mail.docx", "A 34234-2026")</f>
        <v/>
      </c>
    </row>
    <row r="26" ht="15" customHeight="1">
      <c r="A26" t="inlineStr">
        <is>
          <t>A 41909-2026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46303</v>
      </c>
      <c r="E26" s="1" t="n">
        <v>46314</v>
      </c>
      <c r="F26" t="inlineStr">
        <is>
          <t>VÄSTMANLANDS LÄN</t>
        </is>
      </c>
      <c r="G26" t="inlineStr">
        <is>
          <t>NORBERG</t>
        </is>
      </c>
      <c r="H26" t="inlineStr">
        <is>
          <t>Sveaskog</t>
        </is>
      </c>
      <c r="I26" t="n">
        <v>4.6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Plattlummer</t>
        </is>
      </c>
      <c r="W26">
        <f>HYPERLINK("https://klasma.github.io/Logging_1962/artfynd/A 41909-2026 artfynd.xlsx", "A 41909-2026")</f>
        <v/>
      </c>
      <c r="X26">
        <f>HYPERLINK("https://klasma.github.io/Logging_1962/kartor/A 41909-2026 karta.png", "A 41909-2026")</f>
        <v/>
      </c>
      <c r="Y26">
        <f>HYPERLINK("https://klasma.github.io/Logging_1962/kartor_geotiff/A 41909-2026 georefererad karta.tif", "A 41909-2026")</f>
        <v/>
      </c>
      <c r="AA26">
        <f>HYPERLINK("https://klasma.github.io/Logging_1962/klagomål/A 41909-2026 FSC-klagomål.docx", "A 41909-2026")</f>
        <v/>
      </c>
      <c r="AB26">
        <f>HYPERLINK("https://klasma.github.io/Logging_1962/klagomålsmail/A 41909-2026 FSC-klagomål mail.docx", "A 41909-2026")</f>
        <v/>
      </c>
      <c r="AC26">
        <f>HYPERLINK("https://klasma.github.io/Logging_1962/tillsyn/A 41909-2026 tillsynsbegäran.docx", "A 41909-2026")</f>
        <v/>
      </c>
      <c r="AD26">
        <f>HYPERLINK("https://klasma.github.io/Logging_1962/tillsynsmail/A 41909-2026 tillsynsbegäran mail.docx", "A 41909-2026")</f>
        <v/>
      </c>
    </row>
    <row r="27" ht="15" customHeight="1">
      <c r="A27" t="inlineStr">
        <is>
          <t>A 36383-2026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46268</v>
      </c>
      <c r="E27" s="1" t="n">
        <v>46314</v>
      </c>
      <c r="F27" t="inlineStr">
        <is>
          <t>VÄSTMANLANDS LÄN</t>
        </is>
      </c>
      <c r="G27" t="inlineStr">
        <is>
          <t>NORBERG</t>
        </is>
      </c>
      <c r="H27" t="inlineStr">
        <is>
          <t>Sveaskog</t>
        </is>
      </c>
      <c r="I27" t="n">
        <v>8.300000000000001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Plattlummer</t>
        </is>
      </c>
      <c r="W27">
        <f>HYPERLINK("https://klasma.github.io/Logging_1962/artfynd/A 36383-2026 artfynd.xlsx", "A 36383-2026")</f>
        <v/>
      </c>
      <c r="X27">
        <f>HYPERLINK("https://klasma.github.io/Logging_1962/kartor/A 36383-2026 karta.png", "A 36383-2026")</f>
        <v/>
      </c>
      <c r="Y27">
        <f>HYPERLINK("https://klasma.github.io/Logging_1962/kartor_geotiff/A 36383-2026 georefererad karta.tif", "A 36383-2026")</f>
        <v/>
      </c>
      <c r="AA27">
        <f>HYPERLINK("https://klasma.github.io/Logging_1962/klagomål/A 36383-2026 FSC-klagomål.docx", "A 36383-2026")</f>
        <v/>
      </c>
      <c r="AB27">
        <f>HYPERLINK("https://klasma.github.io/Logging_1962/klagomålsmail/A 36383-2026 FSC-klagomål mail.docx", "A 36383-2026")</f>
        <v/>
      </c>
      <c r="AC27">
        <f>HYPERLINK("https://klasma.github.io/Logging_1962/tillsyn/A 36383-2026 tillsynsbegäran.docx", "A 36383-2026")</f>
        <v/>
      </c>
      <c r="AD27">
        <f>HYPERLINK("https://klasma.github.io/Logging_1962/tillsynsmail/A 36383-2026 tillsynsbegäran mail.docx", "A 36383-2026")</f>
        <v/>
      </c>
    </row>
    <row r="28" ht="15" customHeight="1">
      <c r="A28" t="inlineStr">
        <is>
          <t>A 38017-2025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45882</v>
      </c>
      <c r="E28" s="1" t="n">
        <v>46314</v>
      </c>
      <c r="F28" t="inlineStr">
        <is>
          <t>VÄSTMANLANDS LÄN</t>
        </is>
      </c>
      <c r="G28" t="inlineStr">
        <is>
          <t>NORBERG</t>
        </is>
      </c>
      <c r="H28" t="inlineStr">
        <is>
          <t>Övriga Aktiebolag</t>
        </is>
      </c>
      <c r="I28" t="n">
        <v>15.5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s="2" t="inlineStr">
        <is>
          <t>Ask</t>
        </is>
      </c>
      <c r="W28">
        <f>HYPERLINK("https://klasma.github.io/Logging_1962/artfynd/A 38017-2025 artfynd.xlsx", "A 38017-2025")</f>
        <v/>
      </c>
      <c r="X28">
        <f>HYPERLINK("https://klasma.github.io/Logging_1962/kartor/A 38017-2025 karta.png", "A 38017-2025")</f>
        <v/>
      </c>
      <c r="Y28">
        <f>HYPERLINK("https://klasma.github.io/Logging_1962/kartor_geotiff/A 38017-2025 georefererad karta.tif", "A 38017-2025")</f>
        <v/>
      </c>
      <c r="AA28">
        <f>HYPERLINK("https://klasma.github.io/Logging_1962/klagomål/A 38017-2025 FSC-klagomål.docx", "A 38017-2025")</f>
        <v/>
      </c>
      <c r="AB28">
        <f>HYPERLINK("https://klasma.github.io/Logging_1962/klagomålsmail/A 38017-2025 FSC-klagomål mail.docx", "A 38017-2025")</f>
        <v/>
      </c>
      <c r="AC28">
        <f>HYPERLINK("https://klasma.github.io/Logging_1962/tillsyn/A 38017-2025 tillsynsbegäran.docx", "A 38017-2025")</f>
        <v/>
      </c>
      <c r="AD28">
        <f>HYPERLINK("https://klasma.github.io/Logging_1962/tillsynsmail/A 38017-2025 tillsynsbegäran mail.docx", "A 38017-2025")</f>
        <v/>
      </c>
    </row>
    <row r="29" ht="15" customHeight="1">
      <c r="A29" t="inlineStr">
        <is>
          <t>S 4857-2024</t>
        </is>
      </c>
      <c r="B29" t="inlineStr">
        <is>
          <t>samrådsanmälan</t>
        </is>
      </c>
      <c r="C29" t="inlineStr">
        <is>
          <t>Annan skogsbruksåtgärd</t>
        </is>
      </c>
      <c r="D29" s="1" t="n">
        <v>45608</v>
      </c>
      <c r="E29" s="1" t="n">
        <v>46314</v>
      </c>
      <c r="F29" t="inlineStr">
        <is>
          <t>VÄSTMANLANDS LÄN</t>
        </is>
      </c>
      <c r="G29" t="inlineStr">
        <is>
          <t>NORBERG</t>
        </is>
      </c>
      <c r="I29" t="n">
        <v>79.3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Nordfladdermus</t>
        </is>
      </c>
      <c r="W29">
        <f>HYPERLINK("https://klasma.github.io/Logging_1962/artfynd/S 4857-2024 artfynd.xlsx", "S 4857-2024")</f>
        <v/>
      </c>
      <c r="X29">
        <f>HYPERLINK("https://klasma.github.io/Logging_1962/kartor/S 4857-2024 karta.png", "S 4857-2024")</f>
        <v/>
      </c>
      <c r="Y29">
        <f>HYPERLINK("https://klasma.github.io/Logging_1962/kartor_geotiff/S 4857-2024 georefererad karta.tif", "S 4857-2024")</f>
        <v/>
      </c>
      <c r="AA29">
        <f>HYPERLINK("https://klasma.github.io/Logging_1962/klagomål/S 4857-2024 FSC-klagomål.docx", "S 4857-2024")</f>
        <v/>
      </c>
      <c r="AB29">
        <f>HYPERLINK("https://klasma.github.io/Logging_1962/klagomålsmail/S 4857-2024 FSC-klagomål mail.docx", "S 4857-2024")</f>
        <v/>
      </c>
      <c r="AC29">
        <f>HYPERLINK("https://klasma.github.io/Logging_1962/tillsyn/S 4857-2024 tillsynsbegäran.docx", "S 4857-2024")</f>
        <v/>
      </c>
      <c r="AD29">
        <f>HYPERLINK("https://klasma.github.io/Logging_1962/tillsynsmail/S 4857-2024 tillsynsbegäran mail.docx", "S 4857-2024")</f>
        <v/>
      </c>
    </row>
    <row r="30" ht="15" customHeight="1">
      <c r="A30" t="inlineStr">
        <is>
          <t>S 920-2025</t>
        </is>
      </c>
      <c r="B30" t="inlineStr">
        <is>
          <t>samrådsanmälan</t>
        </is>
      </c>
      <c r="C30" t="inlineStr">
        <is>
          <t>Annan skogsbruksåtgärd</t>
        </is>
      </c>
      <c r="D30" s="1" t="n">
        <v>45737</v>
      </c>
      <c r="E30" s="1" t="n">
        <v>46314</v>
      </c>
      <c r="F30" t="inlineStr">
        <is>
          <t>VÄSTMANLANDS LÄN</t>
        </is>
      </c>
      <c r="G30" t="inlineStr">
        <is>
          <t>NORBERG</t>
        </is>
      </c>
      <c r="H30" t="inlineStr">
        <is>
          <t>Sveaskog</t>
        </is>
      </c>
      <c r="I30" t="n">
        <v>2.7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Lopplummer (aggregat)</t>
        </is>
      </c>
      <c r="W30">
        <f>HYPERLINK("https://klasma.github.io/Logging_1962/artfynd/S 920-2025 artfynd.xlsx", "S 920-2025")</f>
        <v/>
      </c>
      <c r="X30">
        <f>HYPERLINK("https://klasma.github.io/Logging_1962/kartor/S 920-2025 karta.png", "S 920-2025")</f>
        <v/>
      </c>
      <c r="Y30">
        <f>HYPERLINK("https://klasma.github.io/Logging_1962/kartor_geotiff/S 920-2025 georefererad karta.tif", "S 920-2025")</f>
        <v/>
      </c>
      <c r="AA30">
        <f>HYPERLINK("https://klasma.github.io/Logging_1962/klagomål/S 920-2025 FSC-klagomål.docx", "S 920-2025")</f>
        <v/>
      </c>
      <c r="AB30">
        <f>HYPERLINK("https://klasma.github.io/Logging_1962/klagomålsmail/S 920-2025 FSC-klagomål mail.docx", "S 920-2025")</f>
        <v/>
      </c>
      <c r="AC30">
        <f>HYPERLINK("https://klasma.github.io/Logging_1962/tillsyn/S 920-2025 tillsynsbegäran.docx", "S 920-2025")</f>
        <v/>
      </c>
      <c r="AD30">
        <f>HYPERLINK("https://klasma.github.io/Logging_1962/tillsynsmail/S 920-2025 tillsynsbegäran mail.docx", "S 920-2025")</f>
        <v/>
      </c>
    </row>
    <row r="31" ht="15" customHeight="1">
      <c r="A31" t="inlineStr">
        <is>
          <t>A 51415-2022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44869</v>
      </c>
      <c r="E31" s="1" t="n">
        <v>46314</v>
      </c>
      <c r="F31" t="inlineStr">
        <is>
          <t>VÄSTMANLANDS LÄN</t>
        </is>
      </c>
      <c r="G31" t="inlineStr">
        <is>
          <t>NORBERG</t>
        </is>
      </c>
      <c r="H31" t="inlineStr">
        <is>
          <t>Övriga Aktiebolag</t>
        </is>
      </c>
      <c r="I31" t="n">
        <v>8.300000000000001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49143-2022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44860</v>
      </c>
      <c r="E32" s="1" t="n">
        <v>46314</v>
      </c>
      <c r="F32" t="inlineStr">
        <is>
          <t>VÄSTMANLANDS LÄN</t>
        </is>
      </c>
      <c r="G32" t="inlineStr">
        <is>
          <t>NORBERG</t>
        </is>
      </c>
      <c r="H32" t="inlineStr">
        <is>
          <t>Sveaskog</t>
        </is>
      </c>
      <c r="I32" t="n">
        <v>3.1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49163-2022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44860</v>
      </c>
      <c r="E33" s="1" t="n">
        <v>46314</v>
      </c>
      <c r="F33" t="inlineStr">
        <is>
          <t>VÄSTMANLANDS LÄN</t>
        </is>
      </c>
      <c r="G33" t="inlineStr">
        <is>
          <t>NORBERG</t>
        </is>
      </c>
      <c r="H33" t="inlineStr">
        <is>
          <t>Sveaskog</t>
        </is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44016-2022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44838</v>
      </c>
      <c r="E34" s="1" t="n">
        <v>46314</v>
      </c>
      <c r="F34" t="inlineStr">
        <is>
          <t>VÄSTMANLANDS LÄN</t>
        </is>
      </c>
      <c r="G34" t="inlineStr">
        <is>
          <t>NORBERG</t>
        </is>
      </c>
      <c r="H34" t="inlineStr">
        <is>
          <t>Sveaskog</t>
        </is>
      </c>
      <c r="I34" t="n">
        <v>7.2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52076-2022</t>
        </is>
      </c>
      <c r="B35" t="inlineStr">
        <is>
          <t>avverkningsanmälan</t>
        </is>
      </c>
      <c r="C35" t="inlineStr">
        <is>
          <t>Avverkning för annat ändamål</t>
        </is>
      </c>
      <c r="D35" s="1" t="n">
        <v>44873</v>
      </c>
      <c r="E35" s="1" t="n">
        <v>46314</v>
      </c>
      <c r="F35" t="inlineStr">
        <is>
          <t>VÄSTMANLANDS LÄN</t>
        </is>
      </c>
      <c r="G35" t="inlineStr">
        <is>
          <t>NORBERG</t>
        </is>
      </c>
      <c r="I35" t="n">
        <v>2.3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6353-2022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44600</v>
      </c>
      <c r="E36" s="1" t="n">
        <v>46314</v>
      </c>
      <c r="F36" t="inlineStr">
        <is>
          <t>VÄSTMANLANDS LÄN</t>
        </is>
      </c>
      <c r="G36" t="inlineStr">
        <is>
          <t>NORBERG</t>
        </is>
      </c>
      <c r="I36" t="n">
        <v>1.1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47607-2022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44852</v>
      </c>
      <c r="E37" s="1" t="n">
        <v>46314</v>
      </c>
      <c r="F37" t="inlineStr">
        <is>
          <t>VÄSTMANLANDS LÄN</t>
        </is>
      </c>
      <c r="G37" t="inlineStr">
        <is>
          <t>NORBERG</t>
        </is>
      </c>
      <c r="I37" t="n">
        <v>0.9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44015-2022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44838</v>
      </c>
      <c r="E38" s="1" t="n">
        <v>46314</v>
      </c>
      <c r="F38" t="inlineStr">
        <is>
          <t>VÄSTMANLANDS LÄN</t>
        </is>
      </c>
      <c r="G38" t="inlineStr">
        <is>
          <t>NORBERG</t>
        </is>
      </c>
      <c r="H38" t="inlineStr">
        <is>
          <t>Sveaskog</t>
        </is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9875-2022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44620</v>
      </c>
      <c r="E39" s="1" t="n">
        <v>46314</v>
      </c>
      <c r="F39" t="inlineStr">
        <is>
          <t>VÄSTMANLANDS LÄN</t>
        </is>
      </c>
      <c r="G39" t="inlineStr">
        <is>
          <t>NORBERG</t>
        </is>
      </c>
      <c r="I39" t="n">
        <v>1.7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46641-2022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44849</v>
      </c>
      <c r="E40" s="1" t="n">
        <v>46314</v>
      </c>
      <c r="F40" t="inlineStr">
        <is>
          <t>VÄSTMANLANDS LÄN</t>
        </is>
      </c>
      <c r="G40" t="inlineStr">
        <is>
          <t>NORBERG</t>
        </is>
      </c>
      <c r="H40" t="inlineStr">
        <is>
          <t>Sveaskog</t>
        </is>
      </c>
      <c r="I40" t="n">
        <v>4.6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42504-2022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44831</v>
      </c>
      <c r="E41" s="1" t="n">
        <v>46314</v>
      </c>
      <c r="F41" t="inlineStr">
        <is>
          <t>VÄSTMANLANDS LÄN</t>
        </is>
      </c>
      <c r="G41" t="inlineStr">
        <is>
          <t>NORBERG</t>
        </is>
      </c>
      <c r="H41" t="inlineStr">
        <is>
          <t>Sveaskog</t>
        </is>
      </c>
      <c r="I41" t="n">
        <v>0.8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42505-2022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44831</v>
      </c>
      <c r="E42" s="1" t="n">
        <v>46314</v>
      </c>
      <c r="F42" t="inlineStr">
        <is>
          <t>VÄSTMANLANDS LÄN</t>
        </is>
      </c>
      <c r="G42" t="inlineStr">
        <is>
          <t>NORBERG</t>
        </is>
      </c>
      <c r="H42" t="inlineStr">
        <is>
          <t>Sveaskog</t>
        </is>
      </c>
      <c r="I42" t="n">
        <v>2.5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12233-2022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44635</v>
      </c>
      <c r="E43" s="1" t="n">
        <v>46314</v>
      </c>
      <c r="F43" t="inlineStr">
        <is>
          <t>VÄSTMANLANDS LÄN</t>
        </is>
      </c>
      <c r="G43" t="inlineStr">
        <is>
          <t>NORBERG</t>
        </is>
      </c>
      <c r="I43" t="n">
        <v>0.4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67361-2021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44523</v>
      </c>
      <c r="E44" s="1" t="n">
        <v>46314</v>
      </c>
      <c r="F44" t="inlineStr">
        <is>
          <t>VÄSTMANLANDS LÄN</t>
        </is>
      </c>
      <c r="G44" t="inlineStr">
        <is>
          <t>NORBERG</t>
        </is>
      </c>
      <c r="I44" t="n">
        <v>2.8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2312-2022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44578</v>
      </c>
      <c r="E45" s="1" t="n">
        <v>46314</v>
      </c>
      <c r="F45" t="inlineStr">
        <is>
          <t>VÄSTMANLANDS LÄN</t>
        </is>
      </c>
      <c r="G45" t="inlineStr">
        <is>
          <t>NORBERG</t>
        </is>
      </c>
      <c r="I45" t="n">
        <v>0.4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46045-2023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45196</v>
      </c>
      <c r="E46" s="1" t="n">
        <v>46314</v>
      </c>
      <c r="F46" t="inlineStr">
        <is>
          <t>VÄSTMANLANDS LÄN</t>
        </is>
      </c>
      <c r="G46" t="inlineStr">
        <is>
          <t>NORBERG</t>
        </is>
      </c>
      <c r="H46" t="inlineStr">
        <is>
          <t>Bergvik skog väst AB</t>
        </is>
      </c>
      <c r="I46" t="n">
        <v>2.2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6388-2025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45699</v>
      </c>
      <c r="E47" s="1" t="n">
        <v>46314</v>
      </c>
      <c r="F47" t="inlineStr">
        <is>
          <t>VÄSTMANLANDS LÄN</t>
        </is>
      </c>
      <c r="G47" t="inlineStr">
        <is>
          <t>NORBERG</t>
        </is>
      </c>
      <c r="I47" t="n">
        <v>1.6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57990-2024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45631</v>
      </c>
      <c r="E48" s="1" t="n">
        <v>46314</v>
      </c>
      <c r="F48" t="inlineStr">
        <is>
          <t>VÄSTMANLANDS LÄN</t>
        </is>
      </c>
      <c r="G48" t="inlineStr">
        <is>
          <t>NORBERG</t>
        </is>
      </c>
      <c r="I48" t="n">
        <v>0.7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73797-2021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44552</v>
      </c>
      <c r="E49" s="1" t="n">
        <v>46314</v>
      </c>
      <c r="F49" t="inlineStr">
        <is>
          <t>VÄSTMANLANDS LÄN</t>
        </is>
      </c>
      <c r="G49" t="inlineStr">
        <is>
          <t>NORBERG</t>
        </is>
      </c>
      <c r="I49" t="n">
        <v>0.9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51778-2024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45607</v>
      </c>
      <c r="E50" s="1" t="n">
        <v>46314</v>
      </c>
      <c r="F50" t="inlineStr">
        <is>
          <t>VÄSTMANLANDS LÄN</t>
        </is>
      </c>
      <c r="G50" t="inlineStr">
        <is>
          <t>NORBERG</t>
        </is>
      </c>
      <c r="I50" t="n">
        <v>0.8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37200-2023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45155</v>
      </c>
      <c r="E51" s="1" t="n">
        <v>46314</v>
      </c>
      <c r="F51" t="inlineStr">
        <is>
          <t>VÄSTMANLANDS LÄN</t>
        </is>
      </c>
      <c r="G51" t="inlineStr">
        <is>
          <t>NORBERG</t>
        </is>
      </c>
      <c r="H51" t="inlineStr">
        <is>
          <t>Sveaskog</t>
        </is>
      </c>
      <c r="I51" t="n">
        <v>4.5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36905-2023</t>
        </is>
      </c>
      <c r="B52" t="inlineStr">
        <is>
          <t>avverkningsanmälan</t>
        </is>
      </c>
      <c r="C52" t="inlineStr">
        <is>
          <t>Avverkning för annat ändamål</t>
        </is>
      </c>
      <c r="D52" s="1" t="n">
        <v>45154</v>
      </c>
      <c r="E52" s="1" t="n">
        <v>46314</v>
      </c>
      <c r="F52" t="inlineStr">
        <is>
          <t>VÄSTMANLANDS LÄN</t>
        </is>
      </c>
      <c r="G52" t="inlineStr">
        <is>
          <t>NORBERG</t>
        </is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9907-2024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45363</v>
      </c>
      <c r="E53" s="1" t="n">
        <v>46314</v>
      </c>
      <c r="F53" t="inlineStr">
        <is>
          <t>VÄSTMANLANDS LÄN</t>
        </is>
      </c>
      <c r="G53" t="inlineStr">
        <is>
          <t>NORBERG</t>
        </is>
      </c>
      <c r="I53" t="n">
        <v>2.7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53030-2023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45226</v>
      </c>
      <c r="E54" s="1" t="n">
        <v>46314</v>
      </c>
      <c r="F54" t="inlineStr">
        <is>
          <t>VÄSTMANLANDS LÄN</t>
        </is>
      </c>
      <c r="G54" t="inlineStr">
        <is>
          <t>NORBERG</t>
        </is>
      </c>
      <c r="H54" t="inlineStr">
        <is>
          <t>Sveaskog</t>
        </is>
      </c>
      <c r="I54" t="n">
        <v>0.4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7417-2025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45705</v>
      </c>
      <c r="E55" s="1" t="n">
        <v>46314</v>
      </c>
      <c r="F55" t="inlineStr">
        <is>
          <t>VÄSTMANLANDS LÄN</t>
        </is>
      </c>
      <c r="G55" t="inlineStr">
        <is>
          <t>NORBERG</t>
        </is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46864-2023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45200</v>
      </c>
      <c r="E56" s="1" t="n">
        <v>46314</v>
      </c>
      <c r="F56" t="inlineStr">
        <is>
          <t>VÄSTMANLANDS LÄN</t>
        </is>
      </c>
      <c r="G56" t="inlineStr">
        <is>
          <t>NORBERG</t>
        </is>
      </c>
      <c r="H56" t="inlineStr">
        <is>
          <t>Sveaskog</t>
        </is>
      </c>
      <c r="I56" t="n">
        <v>4.4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43103-2024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45567</v>
      </c>
      <c r="E57" s="1" t="n">
        <v>46314</v>
      </c>
      <c r="F57" t="inlineStr">
        <is>
          <t>VÄSTMANLANDS LÄN</t>
        </is>
      </c>
      <c r="G57" t="inlineStr">
        <is>
          <t>NORBERG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12526-2025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45730</v>
      </c>
      <c r="E58" s="1" t="n">
        <v>46314</v>
      </c>
      <c r="F58" t="inlineStr">
        <is>
          <t>VÄSTMANLANDS LÄN</t>
        </is>
      </c>
      <c r="G58" t="inlineStr">
        <is>
          <t>NORBERG</t>
        </is>
      </c>
      <c r="I58" t="n">
        <v>4.6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3131-2024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45316</v>
      </c>
      <c r="E59" s="1" t="n">
        <v>46314</v>
      </c>
      <c r="F59" t="inlineStr">
        <is>
          <t>VÄSTMANLANDS LÄN</t>
        </is>
      </c>
      <c r="G59" t="inlineStr">
        <is>
          <t>NORBERG</t>
        </is>
      </c>
      <c r="I59" t="n">
        <v>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63505-2023</t>
        </is>
      </c>
      <c r="B60" t="inlineStr">
        <is>
          <t>avverkningsanmälan</t>
        </is>
      </c>
      <c r="C60" t="inlineStr">
        <is>
          <t>Avverkning för att bevara och utveckla /försöksver</t>
        </is>
      </c>
      <c r="D60" s="1" t="n">
        <v>45274</v>
      </c>
      <c r="E60" s="1" t="n">
        <v>46314</v>
      </c>
      <c r="F60" t="inlineStr">
        <is>
          <t>VÄSTMANLANDS LÄN</t>
        </is>
      </c>
      <c r="G60" t="inlineStr">
        <is>
          <t>NORBERG</t>
        </is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42198-2023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45179</v>
      </c>
      <c r="E61" s="1" t="n">
        <v>46314</v>
      </c>
      <c r="F61" t="inlineStr">
        <is>
          <t>VÄSTMANLANDS LÄN</t>
        </is>
      </c>
      <c r="G61" t="inlineStr">
        <is>
          <t>NORBERG</t>
        </is>
      </c>
      <c r="H61" t="inlineStr">
        <is>
          <t>Sveaskog</t>
        </is>
      </c>
      <c r="I61" t="n">
        <v>4.1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19075-2022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44691</v>
      </c>
      <c r="E62" s="1" t="n">
        <v>46314</v>
      </c>
      <c r="F62" t="inlineStr">
        <is>
          <t>VÄSTMANLANDS LÄN</t>
        </is>
      </c>
      <c r="G62" t="inlineStr">
        <is>
          <t>NORBERG</t>
        </is>
      </c>
      <c r="H62" t="inlineStr">
        <is>
          <t>Övriga Aktiebolag</t>
        </is>
      </c>
      <c r="I62" t="n">
        <v>4.1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12796-2023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45001</v>
      </c>
      <c r="E63" s="1" t="n">
        <v>46314</v>
      </c>
      <c r="F63" t="inlineStr">
        <is>
          <t>VÄSTMANLANDS LÄN</t>
        </is>
      </c>
      <c r="G63" t="inlineStr">
        <is>
          <t>NORBERG</t>
        </is>
      </c>
      <c r="I63" t="n">
        <v>22.4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11099-2022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44628</v>
      </c>
      <c r="E64" s="1" t="n">
        <v>46314</v>
      </c>
      <c r="F64" t="inlineStr">
        <is>
          <t>VÄSTMANLANDS LÄN</t>
        </is>
      </c>
      <c r="G64" t="inlineStr">
        <is>
          <t>NORBERG</t>
        </is>
      </c>
      <c r="I64" t="n">
        <v>2.4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12110-2025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45729</v>
      </c>
      <c r="E65" s="1" t="n">
        <v>46314</v>
      </c>
      <c r="F65" t="inlineStr">
        <is>
          <t>VÄSTMANLANDS LÄN</t>
        </is>
      </c>
      <c r="G65" t="inlineStr">
        <is>
          <t>NORBERG</t>
        </is>
      </c>
      <c r="I65" t="n">
        <v>2.5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38019-2025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45882</v>
      </c>
      <c r="E66" s="1" t="n">
        <v>46314</v>
      </c>
      <c r="F66" t="inlineStr">
        <is>
          <t>VÄSTMANLANDS LÄN</t>
        </is>
      </c>
      <c r="G66" t="inlineStr">
        <is>
          <t>NORBERG</t>
        </is>
      </c>
      <c r="H66" t="inlineStr">
        <is>
          <t>Övriga Aktiebolag</t>
        </is>
      </c>
      <c r="I66" t="n">
        <v>4.8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40232-2024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45554</v>
      </c>
      <c r="E67" s="1" t="n">
        <v>46314</v>
      </c>
      <c r="F67" t="inlineStr">
        <is>
          <t>VÄSTMANLANDS LÄN</t>
        </is>
      </c>
      <c r="G67" t="inlineStr">
        <is>
          <t>NORBERG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40140-2023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45169</v>
      </c>
      <c r="E68" s="1" t="n">
        <v>46314</v>
      </c>
      <c r="F68" t="inlineStr">
        <is>
          <t>VÄSTMANLANDS LÄN</t>
        </is>
      </c>
      <c r="G68" t="inlineStr">
        <is>
          <t>NORBERG</t>
        </is>
      </c>
      <c r="H68" t="inlineStr">
        <is>
          <t>Sveaskog</t>
        </is>
      </c>
      <c r="I68" t="n">
        <v>1.7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15890-2024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45405</v>
      </c>
      <c r="E69" s="1" t="n">
        <v>46314</v>
      </c>
      <c r="F69" t="inlineStr">
        <is>
          <t>VÄSTMANLANDS LÄN</t>
        </is>
      </c>
      <c r="G69" t="inlineStr">
        <is>
          <t>NORBERG</t>
        </is>
      </c>
      <c r="I69" t="n">
        <v>5.3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19173-2025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45769</v>
      </c>
      <c r="E70" s="1" t="n">
        <v>46314</v>
      </c>
      <c r="F70" t="inlineStr">
        <is>
          <t>VÄSTMANLANDS LÄN</t>
        </is>
      </c>
      <c r="G70" t="inlineStr">
        <is>
          <t>NORBERG</t>
        </is>
      </c>
      <c r="H70" t="inlineStr">
        <is>
          <t>Övriga Aktiebolag</t>
        </is>
      </c>
      <c r="I70" t="n">
        <v>2.3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50005-2024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45598</v>
      </c>
      <c r="E71" s="1" t="n">
        <v>46314</v>
      </c>
      <c r="F71" t="inlineStr">
        <is>
          <t>VÄSTMANLANDS LÄN</t>
        </is>
      </c>
      <c r="G71" t="inlineStr">
        <is>
          <t>NORBERG</t>
        </is>
      </c>
      <c r="H71" t="inlineStr">
        <is>
          <t>Sveaskog</t>
        </is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50124-2022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44860</v>
      </c>
      <c r="E72" s="1" t="n">
        <v>46314</v>
      </c>
      <c r="F72" t="inlineStr">
        <is>
          <t>VÄSTMANLANDS LÄN</t>
        </is>
      </c>
      <c r="G72" t="inlineStr">
        <is>
          <t>NORBERG</t>
        </is>
      </c>
      <c r="I72" t="n">
        <v>6.8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54306-2023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45232</v>
      </c>
      <c r="E73" s="1" t="n">
        <v>46314</v>
      </c>
      <c r="F73" t="inlineStr">
        <is>
          <t>VÄSTMANLANDS LÄN</t>
        </is>
      </c>
      <c r="G73" t="inlineStr">
        <is>
          <t>NORBERG</t>
        </is>
      </c>
      <c r="H73" t="inlineStr">
        <is>
          <t>Sveaskog</t>
        </is>
      </c>
      <c r="I73" t="n">
        <v>2.9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20968-2026</t>
        </is>
      </c>
      <c r="B74" t="inlineStr">
        <is>
          <t>avverkningsanmälan</t>
        </is>
      </c>
      <c r="C74" t="inlineStr">
        <is>
          <t>Avverkning för annat ändamål</t>
        </is>
      </c>
      <c r="D74" s="1" t="n">
        <v>46142</v>
      </c>
      <c r="E74" s="1" t="n">
        <v>46314</v>
      </c>
      <c r="F74" t="inlineStr">
        <is>
          <t>VÄSTMANLANDS LÄN</t>
        </is>
      </c>
      <c r="G74" t="inlineStr">
        <is>
          <t>NORBERG</t>
        </is>
      </c>
      <c r="I74" t="n">
        <v>0.4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3354-2025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45679</v>
      </c>
      <c r="E75" s="1" t="n">
        <v>46314</v>
      </c>
      <c r="F75" t="inlineStr">
        <is>
          <t>VÄSTMANLANDS LÄN</t>
        </is>
      </c>
      <c r="G75" t="inlineStr">
        <is>
          <t>NORBERG</t>
        </is>
      </c>
      <c r="I75" t="n">
        <v>2.3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44884-2025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45918</v>
      </c>
      <c r="E76" s="1" t="n">
        <v>46314</v>
      </c>
      <c r="F76" t="inlineStr">
        <is>
          <t>VÄSTMANLANDS LÄN</t>
        </is>
      </c>
      <c r="G76" t="inlineStr">
        <is>
          <t>NORBERG</t>
        </is>
      </c>
      <c r="I76" t="n">
        <v>0.7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57993-2024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45631</v>
      </c>
      <c r="E77" s="1" t="n">
        <v>46314</v>
      </c>
      <c r="F77" t="inlineStr">
        <is>
          <t>VÄSTMANLANDS LÄN</t>
        </is>
      </c>
      <c r="G77" t="inlineStr">
        <is>
          <t>NORBERG</t>
        </is>
      </c>
      <c r="I77" t="n">
        <v>2.7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21218-2026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46146</v>
      </c>
      <c r="E78" s="1" t="n">
        <v>46314</v>
      </c>
      <c r="F78" t="inlineStr">
        <is>
          <t>VÄSTMANLANDS LÄN</t>
        </is>
      </c>
      <c r="G78" t="inlineStr">
        <is>
          <t>NORBERG</t>
        </is>
      </c>
      <c r="H78" t="inlineStr">
        <is>
          <t>Bergvik skog väst AB</t>
        </is>
      </c>
      <c r="I78" t="n">
        <v>12.1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11664-2023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44992</v>
      </c>
      <c r="E79" s="1" t="n">
        <v>46314</v>
      </c>
      <c r="F79" t="inlineStr">
        <is>
          <t>VÄSTMANLANDS LÄN</t>
        </is>
      </c>
      <c r="G79" t="inlineStr">
        <is>
          <t>NORBERG</t>
        </is>
      </c>
      <c r="I79" t="n">
        <v>8.300000000000001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21504-2026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46148</v>
      </c>
      <c r="E80" s="1" t="n">
        <v>46314</v>
      </c>
      <c r="F80" t="inlineStr">
        <is>
          <t>VÄSTMANLANDS LÄN</t>
        </is>
      </c>
      <c r="G80" t="inlineStr">
        <is>
          <t>NORBERG</t>
        </is>
      </c>
      <c r="I80" t="n">
        <v>4.8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48396-2023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45205</v>
      </c>
      <c r="E81" s="1" t="n">
        <v>46314</v>
      </c>
      <c r="F81" t="inlineStr">
        <is>
          <t>VÄSTMANLANDS LÄN</t>
        </is>
      </c>
      <c r="G81" t="inlineStr">
        <is>
          <t>NORBERG</t>
        </is>
      </c>
      <c r="H81" t="inlineStr">
        <is>
          <t>Sveaskog</t>
        </is>
      </c>
      <c r="I81" t="n">
        <v>2.4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21526-2026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46148</v>
      </c>
      <c r="E82" s="1" t="n">
        <v>46314</v>
      </c>
      <c r="F82" t="inlineStr">
        <is>
          <t>VÄSTMANLANDS LÄN</t>
        </is>
      </c>
      <c r="G82" t="inlineStr">
        <is>
          <t>NORBERG</t>
        </is>
      </c>
      <c r="I82" t="n">
        <v>1.2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22092-2026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46149</v>
      </c>
      <c r="E83" s="1" t="n">
        <v>46314</v>
      </c>
      <c r="F83" t="inlineStr">
        <is>
          <t>VÄSTMANLANDS LÄN</t>
        </is>
      </c>
      <c r="G83" t="inlineStr">
        <is>
          <t>NORBERG</t>
        </is>
      </c>
      <c r="I83" t="n">
        <v>2.2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21973-2026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46153</v>
      </c>
      <c r="E84" s="1" t="n">
        <v>46314</v>
      </c>
      <c r="F84" t="inlineStr">
        <is>
          <t>VÄSTMANLANDS LÄN</t>
        </is>
      </c>
      <c r="G84" t="inlineStr">
        <is>
          <t>NORBERG</t>
        </is>
      </c>
      <c r="H84" t="inlineStr">
        <is>
          <t>Bergvik skog väst AB</t>
        </is>
      </c>
      <c r="I84" t="n">
        <v>4.8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49001-2025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45937</v>
      </c>
      <c r="E85" s="1" t="n">
        <v>46314</v>
      </c>
      <c r="F85" t="inlineStr">
        <is>
          <t>VÄSTMANLANDS LÄN</t>
        </is>
      </c>
      <c r="G85" t="inlineStr">
        <is>
          <t>NORBERG</t>
        </is>
      </c>
      <c r="I85" t="n">
        <v>2.8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48997-2025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45937</v>
      </c>
      <c r="E86" s="1" t="n">
        <v>46314</v>
      </c>
      <c r="F86" t="inlineStr">
        <is>
          <t>VÄSTMANLANDS LÄN</t>
        </is>
      </c>
      <c r="G86" t="inlineStr">
        <is>
          <t>NORBERG</t>
        </is>
      </c>
      <c r="I86" t="n">
        <v>0.8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45066-2023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45191</v>
      </c>
      <c r="E87" s="1" t="n">
        <v>46314</v>
      </c>
      <c r="F87" t="inlineStr">
        <is>
          <t>VÄSTMANLANDS LÄN</t>
        </is>
      </c>
      <c r="G87" t="inlineStr">
        <is>
          <t>NORBERG</t>
        </is>
      </c>
      <c r="H87" t="inlineStr">
        <is>
          <t>Bergvik skog väst AB</t>
        </is>
      </c>
      <c r="I87" t="n">
        <v>3.7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49763-2024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45597</v>
      </c>
      <c r="E88" s="1" t="n">
        <v>46314</v>
      </c>
      <c r="F88" t="inlineStr">
        <is>
          <t>VÄSTMANLANDS LÄN</t>
        </is>
      </c>
      <c r="G88" t="inlineStr">
        <is>
          <t>NORBERG</t>
        </is>
      </c>
      <c r="I88" t="n">
        <v>2.1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36443-2024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45537</v>
      </c>
      <c r="E89" s="1" t="n">
        <v>46314</v>
      </c>
      <c r="F89" t="inlineStr">
        <is>
          <t>VÄSTMANLANDS LÄN</t>
        </is>
      </c>
      <c r="G89" t="inlineStr">
        <is>
          <t>NORBERG</t>
        </is>
      </c>
      <c r="I89" t="n">
        <v>0.8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54670-2025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45966</v>
      </c>
      <c r="E90" s="1" t="n">
        <v>46314</v>
      </c>
      <c r="F90" t="inlineStr">
        <is>
          <t>VÄSTMANLANDS LÄN</t>
        </is>
      </c>
      <c r="G90" t="inlineStr">
        <is>
          <t>NORBERG</t>
        </is>
      </c>
      <c r="I90" t="n">
        <v>3.2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28589-2023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45103</v>
      </c>
      <c r="E91" s="1" t="n">
        <v>46314</v>
      </c>
      <c r="F91" t="inlineStr">
        <is>
          <t>VÄSTMANLANDS LÄN</t>
        </is>
      </c>
      <c r="G91" t="inlineStr">
        <is>
          <t>NORBERG</t>
        </is>
      </c>
      <c r="I91" t="n">
        <v>2.3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56400-2025</t>
        </is>
      </c>
      <c r="B92" t="inlineStr">
        <is>
          <t>avverkningsanmälan</t>
        </is>
      </c>
      <c r="C92" t="inlineStr">
        <is>
          <t>Avverkning för annat ändamål</t>
        </is>
      </c>
      <c r="D92" s="1" t="n">
        <v>45974</v>
      </c>
      <c r="E92" s="1" t="n">
        <v>46314</v>
      </c>
      <c r="F92" t="inlineStr">
        <is>
          <t>VÄSTMANLANDS LÄN</t>
        </is>
      </c>
      <c r="G92" t="inlineStr">
        <is>
          <t>NORBERG</t>
        </is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56726-2025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45978</v>
      </c>
      <c r="E93" s="1" t="n">
        <v>46314</v>
      </c>
      <c r="F93" t="inlineStr">
        <is>
          <t>VÄSTMANLANDS LÄN</t>
        </is>
      </c>
      <c r="G93" t="inlineStr">
        <is>
          <t>NORBERG</t>
        </is>
      </c>
      <c r="H93" t="inlineStr">
        <is>
          <t>Övriga Aktiebolag</t>
        </is>
      </c>
      <c r="I93" t="n">
        <v>1.7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51790-2024</t>
        </is>
      </c>
      <c r="B94" t="inlineStr">
        <is>
          <t>avverkningsanmälan</t>
        </is>
      </c>
      <c r="C94" t="inlineStr">
        <is>
          <t>Avverkning för annat ändamål</t>
        </is>
      </c>
      <c r="D94" s="1" t="n">
        <v>45607</v>
      </c>
      <c r="E94" s="1" t="n">
        <v>46314</v>
      </c>
      <c r="F94" t="inlineStr">
        <is>
          <t>VÄSTMANLANDS LÄN</t>
        </is>
      </c>
      <c r="G94" t="inlineStr">
        <is>
          <t>NORBERG</t>
        </is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59527-2025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45989</v>
      </c>
      <c r="E95" s="1" t="n">
        <v>46314</v>
      </c>
      <c r="F95" t="inlineStr">
        <is>
          <t>VÄSTMANLANDS LÄN</t>
        </is>
      </c>
      <c r="G95" t="inlineStr">
        <is>
          <t>NORBERG</t>
        </is>
      </c>
      <c r="I95" t="n">
        <v>1.5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18960-2025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45764</v>
      </c>
      <c r="E96" s="1" t="n">
        <v>46314</v>
      </c>
      <c r="F96" t="inlineStr">
        <is>
          <t>VÄSTMANLANDS LÄN</t>
        </is>
      </c>
      <c r="G96" t="inlineStr">
        <is>
          <t>NORBERG</t>
        </is>
      </c>
      <c r="H96" t="inlineStr">
        <is>
          <t>Sveaskog</t>
        </is>
      </c>
      <c r="I96" t="n">
        <v>2.8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54143-2025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45964</v>
      </c>
      <c r="E97" s="1" t="n">
        <v>46314</v>
      </c>
      <c r="F97" t="inlineStr">
        <is>
          <t>VÄSTMANLANDS LÄN</t>
        </is>
      </c>
      <c r="G97" t="inlineStr">
        <is>
          <t>NORBERG</t>
        </is>
      </c>
      <c r="I97" t="n">
        <v>0.7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47610-2022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44852</v>
      </c>
      <c r="E98" s="1" t="n">
        <v>46314</v>
      </c>
      <c r="F98" t="inlineStr">
        <is>
          <t>VÄSTMANLANDS LÄN</t>
        </is>
      </c>
      <c r="G98" t="inlineStr">
        <is>
          <t>NORBERG</t>
        </is>
      </c>
      <c r="I98" t="n">
        <v>1.1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8746-2023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44973</v>
      </c>
      <c r="E99" s="1" t="n">
        <v>46314</v>
      </c>
      <c r="F99" t="inlineStr">
        <is>
          <t>VÄSTMANLANDS LÄN</t>
        </is>
      </c>
      <c r="G99" t="inlineStr">
        <is>
          <t>NORBERG</t>
        </is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62155-2025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46006</v>
      </c>
      <c r="E100" s="1" t="n">
        <v>46314</v>
      </c>
      <c r="F100" t="inlineStr">
        <is>
          <t>VÄSTMANLANDS LÄN</t>
        </is>
      </c>
      <c r="G100" t="inlineStr">
        <is>
          <t>NORBERG</t>
        </is>
      </c>
      <c r="I100" t="n">
        <v>3.2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3587-2024</t>
        </is>
      </c>
      <c r="B101" t="inlineStr">
        <is>
          <t>avverkningsanmälan</t>
        </is>
      </c>
      <c r="C101" t="inlineStr">
        <is>
          <t>Avverkning för annat ändamål</t>
        </is>
      </c>
      <c r="D101" s="1" t="n">
        <v>45320</v>
      </c>
      <c r="E101" s="1" t="n">
        <v>46314</v>
      </c>
      <c r="F101" t="inlineStr">
        <is>
          <t>VÄSTMANLANDS LÄN</t>
        </is>
      </c>
      <c r="G101" t="inlineStr">
        <is>
          <t>NORBERG</t>
        </is>
      </c>
      <c r="I101" t="n">
        <v>0.4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62882-2025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46008</v>
      </c>
      <c r="E102" s="1" t="n">
        <v>46314</v>
      </c>
      <c r="F102" t="inlineStr">
        <is>
          <t>VÄSTMANLANDS LÄN</t>
        </is>
      </c>
      <c r="G102" t="inlineStr">
        <is>
          <t>NORBERG</t>
        </is>
      </c>
      <c r="I102" t="n">
        <v>0.9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62-2026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46014</v>
      </c>
      <c r="E103" s="1" t="n">
        <v>46314</v>
      </c>
      <c r="F103" t="inlineStr">
        <is>
          <t>VÄSTMANLANDS LÄN</t>
        </is>
      </c>
      <c r="G103" t="inlineStr">
        <is>
          <t>NORBERG</t>
        </is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56-2026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46014</v>
      </c>
      <c r="E104" s="1" t="n">
        <v>46314</v>
      </c>
      <c r="F104" t="inlineStr">
        <is>
          <t>VÄSTMANLANDS LÄN</t>
        </is>
      </c>
      <c r="G104" t="inlineStr">
        <is>
          <t>NORBERG</t>
        </is>
      </c>
      <c r="I104" t="n">
        <v>22.8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63907-2025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46020</v>
      </c>
      <c r="E105" s="1" t="n">
        <v>46314</v>
      </c>
      <c r="F105" t="inlineStr">
        <is>
          <t>VÄSTMANLANDS LÄN</t>
        </is>
      </c>
      <c r="G105" t="inlineStr">
        <is>
          <t>NORBERG</t>
        </is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25331-2026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46176</v>
      </c>
      <c r="E106" s="1" t="n">
        <v>46314</v>
      </c>
      <c r="F106" t="inlineStr">
        <is>
          <t>VÄSTMANLANDS LÄN</t>
        </is>
      </c>
      <c r="G106" t="inlineStr">
        <is>
          <t>NORBERG</t>
        </is>
      </c>
      <c r="H106" t="inlineStr">
        <is>
          <t>Sveaskog</t>
        </is>
      </c>
      <c r="I106" t="n">
        <v>7.4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19377-2025</t>
        </is>
      </c>
      <c r="B107" t="inlineStr">
        <is>
          <t>avverkningsanmälan</t>
        </is>
      </c>
      <c r="C107" t="inlineStr">
        <is>
          <t>Avverkning för annat ändamål</t>
        </is>
      </c>
      <c r="D107" s="1" t="n">
        <v>45769</v>
      </c>
      <c r="E107" s="1" t="n">
        <v>46314</v>
      </c>
      <c r="F107" t="inlineStr">
        <is>
          <t>VÄSTMANLANDS LÄN</t>
        </is>
      </c>
      <c r="G107" t="inlineStr">
        <is>
          <t>NORBERG</t>
        </is>
      </c>
      <c r="I107" t="n">
        <v>0.6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16629-2024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45408</v>
      </c>
      <c r="E108" s="1" t="n">
        <v>46314</v>
      </c>
      <c r="F108" t="inlineStr">
        <is>
          <t>VÄSTMANLANDS LÄN</t>
        </is>
      </c>
      <c r="G108" t="inlineStr">
        <is>
          <t>NORBERG</t>
        </is>
      </c>
      <c r="H108" t="inlineStr">
        <is>
          <t>Sveaskog</t>
        </is>
      </c>
      <c r="I108" t="n">
        <v>8.800000000000001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4887-2026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46045</v>
      </c>
      <c r="E109" s="1" t="n">
        <v>46314</v>
      </c>
      <c r="F109" t="inlineStr">
        <is>
          <t>VÄSTMANLANDS LÄN</t>
        </is>
      </c>
      <c r="G109" t="inlineStr">
        <is>
          <t>NORBERG</t>
        </is>
      </c>
      <c r="I109" t="n">
        <v>2.5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20381-2023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45056</v>
      </c>
      <c r="E110" s="1" t="n">
        <v>46314</v>
      </c>
      <c r="F110" t="inlineStr">
        <is>
          <t>VÄSTMANLANDS LÄN</t>
        </is>
      </c>
      <c r="G110" t="inlineStr">
        <is>
          <t>NORBERG</t>
        </is>
      </c>
      <c r="I110" t="n">
        <v>0.5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37198-2023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45155</v>
      </c>
      <c r="E111" s="1" t="n">
        <v>46314</v>
      </c>
      <c r="F111" t="inlineStr">
        <is>
          <t>VÄSTMANLANDS LÄN</t>
        </is>
      </c>
      <c r="G111" t="inlineStr">
        <is>
          <t>NORBERG</t>
        </is>
      </c>
      <c r="H111" t="inlineStr">
        <is>
          <t>Sveaskog</t>
        </is>
      </c>
      <c r="I111" t="n">
        <v>2.6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20378-2023</t>
        </is>
      </c>
      <c r="B112" t="inlineStr">
        <is>
          <t>avverkningsanmälan</t>
        </is>
      </c>
      <c r="C112" t="inlineStr">
        <is>
          <t>Avverkning för att bevara och utveckla /försöksver</t>
        </is>
      </c>
      <c r="D112" s="1" t="n">
        <v>45056</v>
      </c>
      <c r="E112" s="1" t="n">
        <v>46314</v>
      </c>
      <c r="F112" t="inlineStr">
        <is>
          <t>VÄSTMANLANDS LÄN</t>
        </is>
      </c>
      <c r="G112" t="inlineStr">
        <is>
          <t>NORBERG</t>
        </is>
      </c>
      <c r="I112" t="n">
        <v>5.8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59705-2024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45639</v>
      </c>
      <c r="E113" s="1" t="n">
        <v>46314</v>
      </c>
      <c r="F113" t="inlineStr">
        <is>
          <t>VÄSTMANLANDS LÄN</t>
        </is>
      </c>
      <c r="G113" t="inlineStr">
        <is>
          <t>NORBERG</t>
        </is>
      </c>
      <c r="I113" t="n">
        <v>2.6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60339-2025</t>
        </is>
      </c>
      <c r="B114" t="inlineStr">
        <is>
          <t>avverkningsanmälan</t>
        </is>
      </c>
      <c r="C114" t="inlineStr">
        <is>
          <t>Avverkning för att bevara och utveckla /försöksver</t>
        </is>
      </c>
      <c r="D114" s="1" t="n">
        <v>45994</v>
      </c>
      <c r="E114" s="1" t="n">
        <v>46314</v>
      </c>
      <c r="F114" t="inlineStr">
        <is>
          <t>VÄSTMANLANDS LÄN</t>
        </is>
      </c>
      <c r="G114" t="inlineStr">
        <is>
          <t>NORBERG</t>
        </is>
      </c>
      <c r="H114" t="inlineStr">
        <is>
          <t>Kommuner</t>
        </is>
      </c>
      <c r="I114" t="n">
        <v>1.2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27580-2024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45474</v>
      </c>
      <c r="E115" s="1" t="n">
        <v>46314</v>
      </c>
      <c r="F115" t="inlineStr">
        <is>
          <t>VÄSTMANLANDS LÄN</t>
        </is>
      </c>
      <c r="G115" t="inlineStr">
        <is>
          <t>NORBERG</t>
        </is>
      </c>
      <c r="I115" t="n">
        <v>3.9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47753-2024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45588</v>
      </c>
      <c r="E116" s="1" t="n">
        <v>46314</v>
      </c>
      <c r="F116" t="inlineStr">
        <is>
          <t>VÄSTMANLANDS LÄN</t>
        </is>
      </c>
      <c r="G116" t="inlineStr">
        <is>
          <t>NORBERG</t>
        </is>
      </c>
      <c r="I116" t="n">
        <v>2.9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7744-2023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44973</v>
      </c>
      <c r="E117" s="1" t="n">
        <v>46314</v>
      </c>
      <c r="F117" t="inlineStr">
        <is>
          <t>VÄSTMANLANDS LÄN</t>
        </is>
      </c>
      <c r="G117" t="inlineStr">
        <is>
          <t>NORBERG</t>
        </is>
      </c>
      <c r="H117" t="inlineStr">
        <is>
          <t>Övriga Aktiebolag</t>
        </is>
      </c>
      <c r="I117" t="n">
        <v>2.1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27473-2026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46189</v>
      </c>
      <c r="E118" s="1" t="n">
        <v>46314</v>
      </c>
      <c r="F118" t="inlineStr">
        <is>
          <t>VÄSTMANLANDS LÄN</t>
        </is>
      </c>
      <c r="G118" t="inlineStr">
        <is>
          <t>NORBERG</t>
        </is>
      </c>
      <c r="H118" t="inlineStr">
        <is>
          <t>Sveaskog</t>
        </is>
      </c>
      <c r="I118" t="n">
        <v>13.7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27475-2026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46189</v>
      </c>
      <c r="E119" s="1" t="n">
        <v>46314</v>
      </c>
      <c r="F119" t="inlineStr">
        <is>
          <t>VÄSTMANLANDS LÄN</t>
        </is>
      </c>
      <c r="G119" t="inlineStr">
        <is>
          <t>NORBERG</t>
        </is>
      </c>
      <c r="H119" t="inlineStr">
        <is>
          <t>Sveaskog</t>
        </is>
      </c>
      <c r="I119" t="n">
        <v>1.3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27716-2026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46190</v>
      </c>
      <c r="E120" s="1" t="n">
        <v>46314</v>
      </c>
      <c r="F120" t="inlineStr">
        <is>
          <t>VÄSTMANLANDS LÄN</t>
        </is>
      </c>
      <c r="G120" t="inlineStr">
        <is>
          <t>NORBERG</t>
        </is>
      </c>
      <c r="H120" t="inlineStr">
        <is>
          <t>Sveaskog</t>
        </is>
      </c>
      <c r="I120" t="n">
        <v>2.5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17075-2023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45034</v>
      </c>
      <c r="E121" s="1" t="n">
        <v>46314</v>
      </c>
      <c r="F121" t="inlineStr">
        <is>
          <t>VÄSTMANLANDS LÄN</t>
        </is>
      </c>
      <c r="G121" t="inlineStr">
        <is>
          <t>NORBERG</t>
        </is>
      </c>
      <c r="H121" t="inlineStr">
        <is>
          <t>Bergvik skog väst AB</t>
        </is>
      </c>
      <c r="I121" t="n">
        <v>8.1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14234-2026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46099</v>
      </c>
      <c r="E122" s="1" t="n">
        <v>46314</v>
      </c>
      <c r="F122" t="inlineStr">
        <is>
          <t>VÄSTMANLANDS LÄN</t>
        </is>
      </c>
      <c r="G122" t="inlineStr">
        <is>
          <t>NORBERG</t>
        </is>
      </c>
      <c r="H122" t="inlineStr">
        <is>
          <t>Sveaskog</t>
        </is>
      </c>
      <c r="I122" t="n">
        <v>0.6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15261-2026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46105</v>
      </c>
      <c r="E123" s="1" t="n">
        <v>46314</v>
      </c>
      <c r="F123" t="inlineStr">
        <is>
          <t>VÄSTMANLANDS LÄN</t>
        </is>
      </c>
      <c r="G123" t="inlineStr">
        <is>
          <t>NORBERG</t>
        </is>
      </c>
      <c r="I123" t="n">
        <v>1.4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15263-2026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46105</v>
      </c>
      <c r="E124" s="1" t="n">
        <v>46314</v>
      </c>
      <c r="F124" t="inlineStr">
        <is>
          <t>VÄSTMANLANDS LÄN</t>
        </is>
      </c>
      <c r="G124" t="inlineStr">
        <is>
          <t>NORBERG</t>
        </is>
      </c>
      <c r="I124" t="n">
        <v>1.4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15265-2026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46105</v>
      </c>
      <c r="E125" s="1" t="n">
        <v>46314</v>
      </c>
      <c r="F125" t="inlineStr">
        <is>
          <t>VÄSTMANLANDS LÄN</t>
        </is>
      </c>
      <c r="G125" t="inlineStr">
        <is>
          <t>NORBERG</t>
        </is>
      </c>
      <c r="H125" t="inlineStr">
        <is>
          <t>Sveaskog</t>
        </is>
      </c>
      <c r="I125" t="n">
        <v>7.4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15981-2026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46108</v>
      </c>
      <c r="E126" s="1" t="n">
        <v>46314</v>
      </c>
      <c r="F126" t="inlineStr">
        <is>
          <t>VÄSTMANLANDS LÄN</t>
        </is>
      </c>
      <c r="G126" t="inlineStr">
        <is>
          <t>NORBERG</t>
        </is>
      </c>
      <c r="H126" t="inlineStr">
        <is>
          <t>Sveaskog</t>
        </is>
      </c>
      <c r="I126" t="n">
        <v>1.7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16383-2026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46111</v>
      </c>
      <c r="E127" s="1" t="n">
        <v>46314</v>
      </c>
      <c r="F127" t="inlineStr">
        <is>
          <t>VÄSTMANLANDS LÄN</t>
        </is>
      </c>
      <c r="G127" t="inlineStr">
        <is>
          <t>NORBERG</t>
        </is>
      </c>
      <c r="H127" t="inlineStr">
        <is>
          <t>Sveaskog</t>
        </is>
      </c>
      <c r="I127" t="n">
        <v>5.5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17063-2026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46114</v>
      </c>
      <c r="E128" s="1" t="n">
        <v>46314</v>
      </c>
      <c r="F128" t="inlineStr">
        <is>
          <t>VÄSTMANLANDS LÄN</t>
        </is>
      </c>
      <c r="G128" t="inlineStr">
        <is>
          <t>NORBERG</t>
        </is>
      </c>
      <c r="H128" t="inlineStr">
        <is>
          <t>Sveaskog</t>
        </is>
      </c>
      <c r="I128" t="n">
        <v>2.8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16897-2026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46113</v>
      </c>
      <c r="E129" s="1" t="n">
        <v>46314</v>
      </c>
      <c r="F129" t="inlineStr">
        <is>
          <t>VÄSTMANLANDS LÄN</t>
        </is>
      </c>
      <c r="G129" t="inlineStr">
        <is>
          <t>NORBERG</t>
        </is>
      </c>
      <c r="H129" t="inlineStr">
        <is>
          <t>Sveaskog</t>
        </is>
      </c>
      <c r="I129" t="n">
        <v>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37011-2023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45155</v>
      </c>
      <c r="E130" s="1" t="n">
        <v>46314</v>
      </c>
      <c r="F130" t="inlineStr">
        <is>
          <t>VÄSTMANLANDS LÄN</t>
        </is>
      </c>
      <c r="G130" t="inlineStr">
        <is>
          <t>NORBERG</t>
        </is>
      </c>
      <c r="H130" t="inlineStr">
        <is>
          <t>Övriga Aktiebolag</t>
        </is>
      </c>
      <c r="I130" t="n">
        <v>7.6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17318-2026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46119</v>
      </c>
      <c r="E131" s="1" t="n">
        <v>46314</v>
      </c>
      <c r="F131" t="inlineStr">
        <is>
          <t>VÄSTMANLANDS LÄN</t>
        </is>
      </c>
      <c r="G131" t="inlineStr">
        <is>
          <t>NORBERG</t>
        </is>
      </c>
      <c r="H131" t="inlineStr">
        <is>
          <t>Sveaskog</t>
        </is>
      </c>
      <c r="I131" t="n">
        <v>6.1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27589-2024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45474</v>
      </c>
      <c r="E132" s="1" t="n">
        <v>46314</v>
      </c>
      <c r="F132" t="inlineStr">
        <is>
          <t>VÄSTMANLANDS LÄN</t>
        </is>
      </c>
      <c r="G132" t="inlineStr">
        <is>
          <t>NORBERG</t>
        </is>
      </c>
      <c r="I132" t="n">
        <v>2.7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53224-2024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45613</v>
      </c>
      <c r="E133" s="1" t="n">
        <v>46314</v>
      </c>
      <c r="F133" t="inlineStr">
        <is>
          <t>VÄSTMANLANDS LÄN</t>
        </is>
      </c>
      <c r="G133" t="inlineStr">
        <is>
          <t>NORBERG</t>
        </is>
      </c>
      <c r="I133" t="n">
        <v>0.4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21976-2026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46153</v>
      </c>
      <c r="E134" s="1" t="n">
        <v>46314</v>
      </c>
      <c r="F134" t="inlineStr">
        <is>
          <t>VÄSTMANLANDS LÄN</t>
        </is>
      </c>
      <c r="G134" t="inlineStr">
        <is>
          <t>NORBERG</t>
        </is>
      </c>
      <c r="H134" t="inlineStr">
        <is>
          <t>Övriga Aktiebolag</t>
        </is>
      </c>
      <c r="I134" t="n">
        <v>3.9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16503-2024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45408</v>
      </c>
      <c r="E135" s="1" t="n">
        <v>46314</v>
      </c>
      <c r="F135" t="inlineStr">
        <is>
          <t>VÄSTMANLANDS LÄN</t>
        </is>
      </c>
      <c r="G135" t="inlineStr">
        <is>
          <t>NORBERG</t>
        </is>
      </c>
      <c r="H135" t="inlineStr">
        <is>
          <t>Sveaskog</t>
        </is>
      </c>
      <c r="I135" t="n">
        <v>1.3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40153-2023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45169</v>
      </c>
      <c r="E136" s="1" t="n">
        <v>46314</v>
      </c>
      <c r="F136" t="inlineStr">
        <is>
          <t>VÄSTMANLANDS LÄN</t>
        </is>
      </c>
      <c r="G136" t="inlineStr">
        <is>
          <t>NORBERG</t>
        </is>
      </c>
      <c r="H136" t="inlineStr">
        <is>
          <t>Sveaskog</t>
        </is>
      </c>
      <c r="I136" t="n">
        <v>4.5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41448-2024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45560</v>
      </c>
      <c r="E137" s="1" t="n">
        <v>46314</v>
      </c>
      <c r="F137" t="inlineStr">
        <is>
          <t>VÄSTMANLANDS LÄN</t>
        </is>
      </c>
      <c r="G137" t="inlineStr">
        <is>
          <t>NORBERG</t>
        </is>
      </c>
      <c r="H137" t="inlineStr">
        <is>
          <t>Bergvik skog väst AB</t>
        </is>
      </c>
      <c r="I137" t="n">
        <v>3.5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31483-2026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46223</v>
      </c>
      <c r="E138" s="1" t="n">
        <v>46314</v>
      </c>
      <c r="F138" t="inlineStr">
        <is>
          <t>VÄSTMANLANDS LÄN</t>
        </is>
      </c>
      <c r="G138" t="inlineStr">
        <is>
          <t>NORBERG</t>
        </is>
      </c>
      <c r="I138" t="n">
        <v>9.800000000000001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46865-2023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45200</v>
      </c>
      <c r="E139" s="1" t="n">
        <v>46314</v>
      </c>
      <c r="F139" t="inlineStr">
        <is>
          <t>VÄSTMANLANDS LÄN</t>
        </is>
      </c>
      <c r="G139" t="inlineStr">
        <is>
          <t>NORBERG</t>
        </is>
      </c>
      <c r="H139" t="inlineStr">
        <is>
          <t>Sveaskog</t>
        </is>
      </c>
      <c r="I139" t="n">
        <v>5.4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19164-2025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45769</v>
      </c>
      <c r="E140" s="1" t="n">
        <v>46314</v>
      </c>
      <c r="F140" t="inlineStr">
        <is>
          <t>VÄSTMANLANDS LÄN</t>
        </is>
      </c>
      <c r="G140" t="inlineStr">
        <is>
          <t>NORBERG</t>
        </is>
      </c>
      <c r="H140" t="inlineStr">
        <is>
          <t>Övriga Aktiebolag</t>
        </is>
      </c>
      <c r="I140" t="n">
        <v>2.4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25540-2023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45089</v>
      </c>
      <c r="E141" s="1" t="n">
        <v>46314</v>
      </c>
      <c r="F141" t="inlineStr">
        <is>
          <t>VÄSTMANLANDS LÄN</t>
        </is>
      </c>
      <c r="G141" t="inlineStr">
        <is>
          <t>NORBERG</t>
        </is>
      </c>
      <c r="I141" t="n">
        <v>2.3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28607-2026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46197</v>
      </c>
      <c r="E142" s="1" t="n">
        <v>46314</v>
      </c>
      <c r="F142" t="inlineStr">
        <is>
          <t>VÄSTMANLANDS LÄN</t>
        </is>
      </c>
      <c r="G142" t="inlineStr">
        <is>
          <t>NORBERG</t>
        </is>
      </c>
      <c r="H142" t="inlineStr">
        <is>
          <t>Sveaskog</t>
        </is>
      </c>
      <c r="I142" t="n">
        <v>4.6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28608-2026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46197</v>
      </c>
      <c r="E143" s="1" t="n">
        <v>46314</v>
      </c>
      <c r="F143" t="inlineStr">
        <is>
          <t>VÄSTMANLANDS LÄN</t>
        </is>
      </c>
      <c r="G143" t="inlineStr">
        <is>
          <t>NORBERG</t>
        </is>
      </c>
      <c r="H143" t="inlineStr">
        <is>
          <t>Sveaskog</t>
        </is>
      </c>
      <c r="I143" t="n">
        <v>1.8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47846-2024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45588</v>
      </c>
      <c r="E144" s="1" t="n">
        <v>46314</v>
      </c>
      <c r="F144" t="inlineStr">
        <is>
          <t>VÄSTMANLANDS LÄN</t>
        </is>
      </c>
      <c r="G144" t="inlineStr">
        <is>
          <t>NORBERG</t>
        </is>
      </c>
      <c r="I144" t="n">
        <v>0.7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31972-2026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46232</v>
      </c>
      <c r="E145" s="1" t="n">
        <v>46314</v>
      </c>
      <c r="F145" t="inlineStr">
        <is>
          <t>VÄSTMANLANDS LÄN</t>
        </is>
      </c>
      <c r="G145" t="inlineStr">
        <is>
          <t>NORBERG</t>
        </is>
      </c>
      <c r="I145" t="n">
        <v>1.7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58616-2024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45632</v>
      </c>
      <c r="E146" s="1" t="n">
        <v>46314</v>
      </c>
      <c r="F146" t="inlineStr">
        <is>
          <t>VÄSTMANLANDS LÄN</t>
        </is>
      </c>
      <c r="G146" t="inlineStr">
        <is>
          <t>NORBERG</t>
        </is>
      </c>
      <c r="H146" t="inlineStr">
        <is>
          <t>Bergvik skog väst AB</t>
        </is>
      </c>
      <c r="I146" t="n">
        <v>4.7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21543-2023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45063</v>
      </c>
      <c r="E147" s="1" t="n">
        <v>46314</v>
      </c>
      <c r="F147" t="inlineStr">
        <is>
          <t>VÄSTMANLANDS LÄN</t>
        </is>
      </c>
      <c r="G147" t="inlineStr">
        <is>
          <t>NORBERG</t>
        </is>
      </c>
      <c r="I147" t="n">
        <v>2.8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31967-2026</t>
        </is>
      </c>
      <c r="B148" t="inlineStr">
        <is>
          <t>avverkningsanmälan</t>
        </is>
      </c>
      <c r="C148" t="inlineStr">
        <is>
          <t>Avverkning för annat ändamål</t>
        </is>
      </c>
      <c r="D148" s="1" t="n">
        <v>46232</v>
      </c>
      <c r="E148" s="1" t="n">
        <v>46314</v>
      </c>
      <c r="F148" t="inlineStr">
        <is>
          <t>VÄSTMANLANDS LÄN</t>
        </is>
      </c>
      <c r="G148" t="inlineStr">
        <is>
          <t>NORBERG</t>
        </is>
      </c>
      <c r="H148" t="inlineStr">
        <is>
          <t>Bergvik skog väst AB</t>
        </is>
      </c>
      <c r="I148" t="n">
        <v>1.5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32062-2026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46233</v>
      </c>
      <c r="E149" s="1" t="n">
        <v>46314</v>
      </c>
      <c r="F149" t="inlineStr">
        <is>
          <t>VÄSTMANLANDS LÄN</t>
        </is>
      </c>
      <c r="G149" t="inlineStr">
        <is>
          <t>NORBERG</t>
        </is>
      </c>
      <c r="H149" t="inlineStr">
        <is>
          <t>Sveaskog</t>
        </is>
      </c>
      <c r="I149" t="n">
        <v>8.199999999999999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51793-2024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45607</v>
      </c>
      <c r="E150" s="1" t="n">
        <v>46314</v>
      </c>
      <c r="F150" t="inlineStr">
        <is>
          <t>VÄSTMANLANDS LÄN</t>
        </is>
      </c>
      <c r="G150" t="inlineStr">
        <is>
          <t>NORBERG</t>
        </is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19254-2023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45049</v>
      </c>
      <c r="E151" s="1" t="n">
        <v>46314</v>
      </c>
      <c r="F151" t="inlineStr">
        <is>
          <t>VÄSTMANLANDS LÄN</t>
        </is>
      </c>
      <c r="G151" t="inlineStr">
        <is>
          <t>NORBERG</t>
        </is>
      </c>
      <c r="I151" t="n">
        <v>2.7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67356-2021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44523</v>
      </c>
      <c r="E152" s="1" t="n">
        <v>46314</v>
      </c>
      <c r="F152" t="inlineStr">
        <is>
          <t>VÄSTMANLANDS LÄN</t>
        </is>
      </c>
      <c r="G152" t="inlineStr">
        <is>
          <t>NORBERG</t>
        </is>
      </c>
      <c r="I152" t="n">
        <v>1.3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16042-2024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45405</v>
      </c>
      <c r="E153" s="1" t="n">
        <v>46314</v>
      </c>
      <c r="F153" t="inlineStr">
        <is>
          <t>VÄSTMANLANDS LÄN</t>
        </is>
      </c>
      <c r="G153" t="inlineStr">
        <is>
          <t>NORBERG</t>
        </is>
      </c>
      <c r="I153" t="n">
        <v>7.7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32385-2026</t>
        </is>
      </c>
      <c r="B154" t="inlineStr">
        <is>
          <t>avverkningsanmälan</t>
        </is>
      </c>
      <c r="C154" t="inlineStr">
        <is>
          <t>Avverkning för att bevara och utveckla /försöksver</t>
        </is>
      </c>
      <c r="D154" s="1" t="n">
        <v>46238</v>
      </c>
      <c r="E154" s="1" t="n">
        <v>46314</v>
      </c>
      <c r="F154" t="inlineStr">
        <is>
          <t>VÄSTMANLANDS LÄN</t>
        </is>
      </c>
      <c r="G154" t="inlineStr">
        <is>
          <t>NORBERG</t>
        </is>
      </c>
      <c r="I154" t="n">
        <v>0.8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54573-2023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45233</v>
      </c>
      <c r="E155" s="1" t="n">
        <v>46314</v>
      </c>
      <c r="F155" t="inlineStr">
        <is>
          <t>VÄSTMANLANDS LÄN</t>
        </is>
      </c>
      <c r="G155" t="inlineStr">
        <is>
          <t>NORBERG</t>
        </is>
      </c>
      <c r="H155" t="inlineStr">
        <is>
          <t>Sveaskog</t>
        </is>
      </c>
      <c r="I155" t="n">
        <v>1.1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32524-2023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45121</v>
      </c>
      <c r="E156" s="1" t="n">
        <v>46314</v>
      </c>
      <c r="F156" t="inlineStr">
        <is>
          <t>VÄSTMANLANDS LÄN</t>
        </is>
      </c>
      <c r="G156" t="inlineStr">
        <is>
          <t>NORBERG</t>
        </is>
      </c>
      <c r="I156" t="n">
        <v>1.7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16225-2023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45028</v>
      </c>
      <c r="E157" s="1" t="n">
        <v>46314</v>
      </c>
      <c r="F157" t="inlineStr">
        <is>
          <t>VÄSTMANLANDS LÄN</t>
        </is>
      </c>
      <c r="G157" t="inlineStr">
        <is>
          <t>NORBERG</t>
        </is>
      </c>
      <c r="I157" t="n">
        <v>1.2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33483-2026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46246</v>
      </c>
      <c r="E158" s="1" t="n">
        <v>46314</v>
      </c>
      <c r="F158" t="inlineStr">
        <is>
          <t>VÄSTMANLANDS LÄN</t>
        </is>
      </c>
      <c r="G158" t="inlineStr">
        <is>
          <t>NORBERG</t>
        </is>
      </c>
      <c r="I158" t="n">
        <v>2.5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47029-2024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45586</v>
      </c>
      <c r="E159" s="1" t="n">
        <v>46314</v>
      </c>
      <c r="F159" t="inlineStr">
        <is>
          <t>VÄSTMANLANDS LÄN</t>
        </is>
      </c>
      <c r="G159" t="inlineStr">
        <is>
          <t>NORBERG</t>
        </is>
      </c>
      <c r="I159" t="n">
        <v>3.3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25477-2023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45089</v>
      </c>
      <c r="E160" s="1" t="n">
        <v>46314</v>
      </c>
      <c r="F160" t="inlineStr">
        <is>
          <t>VÄSTMANLANDS LÄN</t>
        </is>
      </c>
      <c r="G160" t="inlineStr">
        <is>
          <t>NORBERG</t>
        </is>
      </c>
      <c r="I160" t="n">
        <v>1.2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43073-2024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45567</v>
      </c>
      <c r="E161" s="1" t="n">
        <v>46314</v>
      </c>
      <c r="F161" t="inlineStr">
        <is>
          <t>VÄSTMANLANDS LÄN</t>
        </is>
      </c>
      <c r="G161" t="inlineStr">
        <is>
          <t>NORBERG</t>
        </is>
      </c>
      <c r="I161" t="n">
        <v>0.5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33443-2026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46247</v>
      </c>
      <c r="E162" s="1" t="n">
        <v>46314</v>
      </c>
      <c r="F162" t="inlineStr">
        <is>
          <t>VÄSTMANLANDS LÄN</t>
        </is>
      </c>
      <c r="G162" t="inlineStr">
        <is>
          <t>NORBERG</t>
        </is>
      </c>
      <c r="H162" t="inlineStr">
        <is>
          <t>Sveaskog</t>
        </is>
      </c>
      <c r="I162" t="n">
        <v>7.6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24540-2022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44727</v>
      </c>
      <c r="E163" s="1" t="n">
        <v>46314</v>
      </c>
      <c r="F163" t="inlineStr">
        <is>
          <t>VÄSTMANLANDS LÄN</t>
        </is>
      </c>
      <c r="G163" t="inlineStr">
        <is>
          <t>NORBERG</t>
        </is>
      </c>
      <c r="H163" t="inlineStr">
        <is>
          <t>Bergvik skog väst AB</t>
        </is>
      </c>
      <c r="I163" t="n">
        <v>6.7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51798-2024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45607</v>
      </c>
      <c r="E164" s="1" t="n">
        <v>46314</v>
      </c>
      <c r="F164" t="inlineStr">
        <is>
          <t>VÄSTMANLANDS LÄN</t>
        </is>
      </c>
      <c r="G164" t="inlineStr">
        <is>
          <t>NORBERG</t>
        </is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11099-2023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44992</v>
      </c>
      <c r="E165" s="1" t="n">
        <v>46314</v>
      </c>
      <c r="F165" t="inlineStr">
        <is>
          <t>VÄSTMANLANDS LÄN</t>
        </is>
      </c>
      <c r="G165" t="inlineStr">
        <is>
          <t>NORBERG</t>
        </is>
      </c>
      <c r="I165" t="n">
        <v>0.6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40144-2023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45169</v>
      </c>
      <c r="E166" s="1" t="n">
        <v>46314</v>
      </c>
      <c r="F166" t="inlineStr">
        <is>
          <t>VÄSTMANLANDS LÄN</t>
        </is>
      </c>
      <c r="G166" t="inlineStr">
        <is>
          <t>NORBERG</t>
        </is>
      </c>
      <c r="H166" t="inlineStr">
        <is>
          <t>Sveaskog</t>
        </is>
      </c>
      <c r="I166" t="n">
        <v>5.5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40154-2023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45169</v>
      </c>
      <c r="E167" s="1" t="n">
        <v>46314</v>
      </c>
      <c r="F167" t="inlineStr">
        <is>
          <t>VÄSTMANLANDS LÄN</t>
        </is>
      </c>
      <c r="G167" t="inlineStr">
        <is>
          <t>NORBERG</t>
        </is>
      </c>
      <c r="H167" t="inlineStr">
        <is>
          <t>Sveaskog</t>
        </is>
      </c>
      <c r="I167" t="n">
        <v>4.6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13465-2026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46093</v>
      </c>
      <c r="E168" s="1" t="n">
        <v>46314</v>
      </c>
      <c r="F168" t="inlineStr">
        <is>
          <t>VÄSTMANLANDS LÄN</t>
        </is>
      </c>
      <c r="G168" t="inlineStr">
        <is>
          <t>NORBERG</t>
        </is>
      </c>
      <c r="I168" t="n">
        <v>2.2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34232-2026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46253</v>
      </c>
      <c r="E169" s="1" t="n">
        <v>46314</v>
      </c>
      <c r="F169" t="inlineStr">
        <is>
          <t>VÄSTMANLANDS LÄN</t>
        </is>
      </c>
      <c r="G169" t="inlineStr">
        <is>
          <t>NORBERG</t>
        </is>
      </c>
      <c r="I169" t="n">
        <v>0.9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23705-2024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45454</v>
      </c>
      <c r="E170" s="1" t="n">
        <v>46314</v>
      </c>
      <c r="F170" t="inlineStr">
        <is>
          <t>VÄSTMANLANDS LÄN</t>
        </is>
      </c>
      <c r="G170" t="inlineStr">
        <is>
          <t>NORBERG</t>
        </is>
      </c>
      <c r="I170" t="n">
        <v>2.3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34832-2026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46258</v>
      </c>
      <c r="E171" s="1" t="n">
        <v>46314</v>
      </c>
      <c r="F171" t="inlineStr">
        <is>
          <t>VÄSTMANLANDS LÄN</t>
        </is>
      </c>
      <c r="G171" t="inlineStr">
        <is>
          <t>NORBERG</t>
        </is>
      </c>
      <c r="H171" t="inlineStr">
        <is>
          <t>Sveaskog</t>
        </is>
      </c>
      <c r="I171" t="n">
        <v>1.1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21232-2024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45440</v>
      </c>
      <c r="E172" s="1" t="n">
        <v>46314</v>
      </c>
      <c r="F172" t="inlineStr">
        <is>
          <t>VÄSTMANLANDS LÄN</t>
        </is>
      </c>
      <c r="G172" t="inlineStr">
        <is>
          <t>NORBERG</t>
        </is>
      </c>
      <c r="I172" t="n">
        <v>0.9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45065-2023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45191</v>
      </c>
      <c r="E173" s="1" t="n">
        <v>46314</v>
      </c>
      <c r="F173" t="inlineStr">
        <is>
          <t>VÄSTMANLANDS LÄN</t>
        </is>
      </c>
      <c r="G173" t="inlineStr">
        <is>
          <t>NORBERG</t>
        </is>
      </c>
      <c r="H173" t="inlineStr">
        <is>
          <t>Bergvik skog väst AB</t>
        </is>
      </c>
      <c r="I173" t="n">
        <v>4.5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46041-2023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45196</v>
      </c>
      <c r="E174" s="1" t="n">
        <v>46314</v>
      </c>
      <c r="F174" t="inlineStr">
        <is>
          <t>VÄSTMANLANDS LÄN</t>
        </is>
      </c>
      <c r="G174" t="inlineStr">
        <is>
          <t>NORBERG</t>
        </is>
      </c>
      <c r="H174" t="inlineStr">
        <is>
          <t>Bergvik skog väst AB</t>
        </is>
      </c>
      <c r="I174" t="n">
        <v>3.1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13654-2024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45390</v>
      </c>
      <c r="E175" s="1" t="n">
        <v>46314</v>
      </c>
      <c r="F175" t="inlineStr">
        <is>
          <t>VÄSTMANLANDS LÄN</t>
        </is>
      </c>
      <c r="G175" t="inlineStr">
        <is>
          <t>NORBERG</t>
        </is>
      </c>
      <c r="I175" t="n">
        <v>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41936-2026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46303</v>
      </c>
      <c r="E176" s="1" t="n">
        <v>46314</v>
      </c>
      <c r="F176" t="inlineStr">
        <is>
          <t>VÄSTMANLANDS LÄN</t>
        </is>
      </c>
      <c r="G176" t="inlineStr">
        <is>
          <t>NORBERG</t>
        </is>
      </c>
      <c r="H176" t="inlineStr">
        <is>
          <t>Sveaskog</t>
        </is>
      </c>
      <c r="I176" t="n">
        <v>1.8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41949-2026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46303</v>
      </c>
      <c r="E177" s="1" t="n">
        <v>46314</v>
      </c>
      <c r="F177" t="inlineStr">
        <is>
          <t>VÄSTMANLANDS LÄN</t>
        </is>
      </c>
      <c r="G177" t="inlineStr">
        <is>
          <t>NORBERG</t>
        </is>
      </c>
      <c r="H177" t="inlineStr">
        <is>
          <t>Sveaskog</t>
        </is>
      </c>
      <c r="I177" t="n">
        <v>5.2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41821-2026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46303</v>
      </c>
      <c r="E178" s="1" t="n">
        <v>46314</v>
      </c>
      <c r="F178" t="inlineStr">
        <is>
          <t>VÄSTMANLANDS LÄN</t>
        </is>
      </c>
      <c r="G178" t="inlineStr">
        <is>
          <t>NORBERG</t>
        </is>
      </c>
      <c r="H178" t="inlineStr">
        <is>
          <t>Sveaskog</t>
        </is>
      </c>
      <c r="I178" t="n">
        <v>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23433-2025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45792</v>
      </c>
      <c r="E179" s="1" t="n">
        <v>46314</v>
      </c>
      <c r="F179" t="inlineStr">
        <is>
          <t>VÄSTMANLANDS LÄN</t>
        </is>
      </c>
      <c r="G179" t="inlineStr">
        <is>
          <t>NORBERG</t>
        </is>
      </c>
      <c r="H179" t="inlineStr">
        <is>
          <t>Övriga Aktiebolag</t>
        </is>
      </c>
      <c r="I179" t="n">
        <v>6.2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23418-2025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45792</v>
      </c>
      <c r="E180" s="1" t="n">
        <v>46314</v>
      </c>
      <c r="F180" t="inlineStr">
        <is>
          <t>VÄSTMANLANDS LÄN</t>
        </is>
      </c>
      <c r="G180" t="inlineStr">
        <is>
          <t>NORBERG</t>
        </is>
      </c>
      <c r="H180" t="inlineStr">
        <is>
          <t>Övriga Aktiebolag</t>
        </is>
      </c>
      <c r="I180" t="n">
        <v>3.2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45290-2024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45576</v>
      </c>
      <c r="E181" s="1" t="n">
        <v>46314</v>
      </c>
      <c r="F181" t="inlineStr">
        <is>
          <t>VÄSTMANLANDS LÄN</t>
        </is>
      </c>
      <c r="G181" t="inlineStr">
        <is>
          <t>NORBERG</t>
        </is>
      </c>
      <c r="H181" t="inlineStr">
        <is>
          <t>Övriga Aktiebolag</t>
        </is>
      </c>
      <c r="I181" t="n">
        <v>9.300000000000001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23702-2024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45454</v>
      </c>
      <c r="E182" s="1" t="n">
        <v>46314</v>
      </c>
      <c r="F182" t="inlineStr">
        <is>
          <t>VÄSTMANLANDS LÄN</t>
        </is>
      </c>
      <c r="G182" t="inlineStr">
        <is>
          <t>NORBERG</t>
        </is>
      </c>
      <c r="I182" t="n">
        <v>3.7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13471-2026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46093</v>
      </c>
      <c r="E183" s="1" t="n">
        <v>46314</v>
      </c>
      <c r="F183" t="inlineStr">
        <is>
          <t>VÄSTMANLANDS LÄN</t>
        </is>
      </c>
      <c r="G183" t="inlineStr">
        <is>
          <t>NORBERG</t>
        </is>
      </c>
      <c r="I183" t="n">
        <v>3.6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63495-2023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45274</v>
      </c>
      <c r="E184" s="1" t="n">
        <v>46314</v>
      </c>
      <c r="F184" t="inlineStr">
        <is>
          <t>VÄSTMANLANDS LÄN</t>
        </is>
      </c>
      <c r="G184" t="inlineStr">
        <is>
          <t>NORBERG</t>
        </is>
      </c>
      <c r="I184" t="n">
        <v>1.8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35726-2026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46265</v>
      </c>
      <c r="E185" s="1" t="n">
        <v>46314</v>
      </c>
      <c r="F185" t="inlineStr">
        <is>
          <t>VÄSTMANLANDS LÄN</t>
        </is>
      </c>
      <c r="G185" t="inlineStr">
        <is>
          <t>NORBERG</t>
        </is>
      </c>
      <c r="H185" t="inlineStr">
        <is>
          <t>Sveaskog</t>
        </is>
      </c>
      <c r="I185" t="n">
        <v>3.2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36013-2026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46266</v>
      </c>
      <c r="E186" s="1" t="n">
        <v>46314</v>
      </c>
      <c r="F186" t="inlineStr">
        <is>
          <t>VÄSTMANLANDS LÄN</t>
        </is>
      </c>
      <c r="G186" t="inlineStr">
        <is>
          <t>NORBERG</t>
        </is>
      </c>
      <c r="H186" t="inlineStr">
        <is>
          <t>Sveaskog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35731-2026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46265</v>
      </c>
      <c r="E187" s="1" t="n">
        <v>46314</v>
      </c>
      <c r="F187" t="inlineStr">
        <is>
          <t>VÄSTMANLANDS LÄN</t>
        </is>
      </c>
      <c r="G187" t="inlineStr">
        <is>
          <t>NORBERG</t>
        </is>
      </c>
      <c r="H187" t="inlineStr">
        <is>
          <t>Sveaskog</t>
        </is>
      </c>
      <c r="I187" t="n">
        <v>3.7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36394-2026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46268</v>
      </c>
      <c r="E188" s="1" t="n">
        <v>46314</v>
      </c>
      <c r="F188" t="inlineStr">
        <is>
          <t>VÄSTMANLANDS LÄN</t>
        </is>
      </c>
      <c r="G188" t="inlineStr">
        <is>
          <t>NORBERG</t>
        </is>
      </c>
      <c r="H188" t="inlineStr">
        <is>
          <t>Sveaskog</t>
        </is>
      </c>
      <c r="I188" t="n">
        <v>8.9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29620-2025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45825</v>
      </c>
      <c r="E189" s="1" t="n">
        <v>46314</v>
      </c>
      <c r="F189" t="inlineStr">
        <is>
          <t>VÄSTMANLANDS LÄN</t>
        </is>
      </c>
      <c r="G189" t="inlineStr">
        <is>
          <t>NORBERG</t>
        </is>
      </c>
      <c r="I189" t="n">
        <v>3.9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30211-2025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45827</v>
      </c>
      <c r="E190" s="1" t="n">
        <v>46314</v>
      </c>
      <c r="F190" t="inlineStr">
        <is>
          <t>VÄSTMANLANDS LÄN</t>
        </is>
      </c>
      <c r="G190" t="inlineStr">
        <is>
          <t>NORBERG</t>
        </is>
      </c>
      <c r="H190" t="inlineStr">
        <is>
          <t>Övriga Aktiebolag</t>
        </is>
      </c>
      <c r="I190" t="n">
        <v>4.8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36389-2026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46268</v>
      </c>
      <c r="E191" s="1" t="n">
        <v>46314</v>
      </c>
      <c r="F191" t="inlineStr">
        <is>
          <t>VÄSTMANLANDS LÄN</t>
        </is>
      </c>
      <c r="G191" t="inlineStr">
        <is>
          <t>NORBERG</t>
        </is>
      </c>
      <c r="H191" t="inlineStr">
        <is>
          <t>Sveaskog</t>
        </is>
      </c>
      <c r="I191" t="n">
        <v>2.4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38018-2025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45882</v>
      </c>
      <c r="E192" s="1" t="n">
        <v>46314</v>
      </c>
      <c r="F192" t="inlineStr">
        <is>
          <t>VÄSTMANLANDS LÄN</t>
        </is>
      </c>
      <c r="G192" t="inlineStr">
        <is>
          <t>NORBERG</t>
        </is>
      </c>
      <c r="H192" t="inlineStr">
        <is>
          <t>Övriga Aktiebolag</t>
        </is>
      </c>
      <c r="I192" t="n">
        <v>15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S 409-2022</t>
        </is>
      </c>
      <c r="B193" t="inlineStr">
        <is>
          <t>samrådsanmälan</t>
        </is>
      </c>
      <c r="C193" t="inlineStr">
        <is>
          <t>Skogsgödsling</t>
        </is>
      </c>
      <c r="D193" s="1" t="n">
        <v>44585</v>
      </c>
      <c r="E193" s="1" t="n">
        <v>46314</v>
      </c>
      <c r="F193" t="inlineStr">
        <is>
          <t>VÄSTMANLANDS LÄN</t>
        </is>
      </c>
      <c r="G193" t="inlineStr">
        <is>
          <t>NORBERG</t>
        </is>
      </c>
      <c r="H193" t="inlineStr">
        <is>
          <t>Bergvik skog väst AB</t>
        </is>
      </c>
      <c r="I193" t="n">
        <v>10.9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S 606-2026</t>
        </is>
      </c>
      <c r="B194" t="inlineStr">
        <is>
          <t>samrådsanmälan</t>
        </is>
      </c>
      <c r="C194" t="inlineStr">
        <is>
          <t>Skogsgödsling</t>
        </is>
      </c>
      <c r="D194" s="1" t="n">
        <v>46085</v>
      </c>
      <c r="E194" s="1" t="n">
        <v>46314</v>
      </c>
      <c r="F194" t="inlineStr">
        <is>
          <t>VÄSTMANLANDS LÄN</t>
        </is>
      </c>
      <c r="G194" t="inlineStr">
        <is>
          <t>NORBERG</t>
        </is>
      </c>
      <c r="H194" t="inlineStr">
        <is>
          <t>Bergvik skog väst AB</t>
        </is>
      </c>
      <c r="I194" t="n">
        <v>26.4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>
      <c r="A195" t="inlineStr">
        <is>
          <t>S 2097-2026</t>
        </is>
      </c>
      <c r="B195" t="inlineStr">
        <is>
          <t>samrådsanmälan</t>
        </is>
      </c>
      <c r="C195" t="inlineStr">
        <is>
          <t>Annan skogsbruksåtgärd</t>
        </is>
      </c>
      <c r="D195" s="1" t="n">
        <v>46238</v>
      </c>
      <c r="E195" s="1" t="n">
        <v>46314</v>
      </c>
      <c r="F195" t="inlineStr">
        <is>
          <t>VÄSTMANLANDS LÄN</t>
        </is>
      </c>
      <c r="G195" t="inlineStr">
        <is>
          <t>NORBERG</t>
        </is>
      </c>
      <c r="I195" t="n">
        <v>0.8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2026-10-19T02:04:46Z</dcterms:created>
  <dcterms:modified xmlns:dcterms="http://purl.org/dc/terms/" xmlns:xsi="http://www.w3.org/2001/XMLSchema-instance" xsi:type="dcterms:W3CDTF">2026-10-19T02:04:46Z</dcterms:modified>
</cp:coreProperties>
</file>