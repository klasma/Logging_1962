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45472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45472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45472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45472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17053-2023</t>
        </is>
      </c>
      <c r="B6" s="1" t="n">
        <v>45034</v>
      </c>
      <c r="C6" s="1" t="n">
        <v>45472</v>
      </c>
      <c r="D6" t="inlineStr">
        <is>
          <t>VÄSTMANLANDS LÄN</t>
        </is>
      </c>
      <c r="E6" t="inlineStr">
        <is>
          <t>NORBERG</t>
        </is>
      </c>
      <c r="F6" t="inlineStr">
        <is>
          <t>Övriga Aktiebolag</t>
        </is>
      </c>
      <c r="G6" t="n">
        <v>16.8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Motaggsvamp
Rödgul trumpetsvamp</t>
        </is>
      </c>
      <c r="S6">
        <f>HYPERLINK("https://klasma.github.io/Logging_1962/artfynd/A 17053-2023 artfynd.xlsx", "A 17053-2023")</f>
        <v/>
      </c>
      <c r="T6">
        <f>HYPERLINK("https://klasma.github.io/Logging_1962/kartor/A 17053-2023 karta.png", "A 17053-2023")</f>
        <v/>
      </c>
      <c r="V6">
        <f>HYPERLINK("https://klasma.github.io/Logging_1962/klagomål/A 17053-2023 FSC-klagomål.docx", "A 17053-2023")</f>
        <v/>
      </c>
      <c r="W6">
        <f>HYPERLINK("https://klasma.github.io/Logging_1962/klagomålsmail/A 17053-2023 FSC-klagomål mail.docx", "A 17053-2023")</f>
        <v/>
      </c>
      <c r="X6">
        <f>HYPERLINK("https://klasma.github.io/Logging_1962/tillsyn/A 17053-2023 tillsynsbegäran.docx", "A 17053-2023")</f>
        <v/>
      </c>
      <c r="Y6">
        <f>HYPERLINK("https://klasma.github.io/Logging_1962/tillsynsmail/A 17053-2023 tillsynsbegäran mail.docx", "A 17053-2023")</f>
        <v/>
      </c>
    </row>
    <row r="7" ht="15" customHeight="1">
      <c r="A7" t="inlineStr">
        <is>
          <t>A 62471-2023</t>
        </is>
      </c>
      <c r="B7" s="1" t="n">
        <v>45268</v>
      </c>
      <c r="C7" s="1" t="n">
        <v>45472</v>
      </c>
      <c r="D7" t="inlineStr">
        <is>
          <t>VÄSTMANLANDS LÄN</t>
        </is>
      </c>
      <c r="E7" t="inlineStr">
        <is>
          <t>NORBERG</t>
        </is>
      </c>
      <c r="G7" t="n">
        <v>5.3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Orange taggsvamp
Kryddspindling
Zontaggsvamp</t>
        </is>
      </c>
      <c r="S7">
        <f>HYPERLINK("https://klasma.github.io/Logging_1962/artfynd/A 62471-2023 artfynd.xlsx", "A 62471-2023")</f>
        <v/>
      </c>
      <c r="T7">
        <f>HYPERLINK("https://klasma.github.io/Logging_1962/kartor/A 62471-2023 karta.png", "A 62471-2023")</f>
        <v/>
      </c>
      <c r="V7">
        <f>HYPERLINK("https://klasma.github.io/Logging_1962/klagomål/A 62471-2023 FSC-klagomål.docx", "A 62471-2023")</f>
        <v/>
      </c>
      <c r="W7">
        <f>HYPERLINK("https://klasma.github.io/Logging_1962/klagomålsmail/A 62471-2023 FSC-klagomål mail.docx", "A 62471-2023")</f>
        <v/>
      </c>
      <c r="X7">
        <f>HYPERLINK("https://klasma.github.io/Logging_1962/tillsyn/A 62471-2023 tillsynsbegäran.docx", "A 62471-2023")</f>
        <v/>
      </c>
      <c r="Y7">
        <f>HYPERLINK("https://klasma.github.io/Logging_1962/tillsynsmail/A 62471-2023 tillsynsbegäran mail.docx", "A 62471-2023")</f>
        <v/>
      </c>
    </row>
    <row r="8" ht="15" customHeight="1">
      <c r="A8" t="inlineStr">
        <is>
          <t>A 66086-2019</t>
        </is>
      </c>
      <c r="B8" s="1" t="n">
        <v>43807</v>
      </c>
      <c r="C8" s="1" t="n">
        <v>45472</v>
      </c>
      <c r="D8" t="inlineStr">
        <is>
          <t>VÄSTMANLANDS LÄN</t>
        </is>
      </c>
      <c r="E8" t="inlineStr">
        <is>
          <t>NORBERG</t>
        </is>
      </c>
      <c r="G8" t="n">
        <v>16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Kambräken</t>
        </is>
      </c>
      <c r="S8">
        <f>HYPERLINK("https://klasma.github.io/Logging_1962/artfynd/A 66086-2019 artfynd.xlsx", "A 66086-2019")</f>
        <v/>
      </c>
      <c r="T8">
        <f>HYPERLINK("https://klasma.github.io/Logging_1962/kartor/A 66086-2019 karta.png", "A 66086-2019")</f>
        <v/>
      </c>
      <c r="U8">
        <f>HYPERLINK("https://klasma.github.io/Logging_1962/knärot/A 66086-2019 karta knärot.png", "A 66086-2019")</f>
        <v/>
      </c>
      <c r="V8">
        <f>HYPERLINK("https://klasma.github.io/Logging_1962/klagomål/A 66086-2019 FSC-klagomål.docx", "A 66086-2019")</f>
        <v/>
      </c>
      <c r="W8">
        <f>HYPERLINK("https://klasma.github.io/Logging_1962/klagomålsmail/A 66086-2019 FSC-klagomål mail.docx", "A 66086-2019")</f>
        <v/>
      </c>
      <c r="X8">
        <f>HYPERLINK("https://klasma.github.io/Logging_1962/tillsyn/A 66086-2019 tillsynsbegäran.docx", "A 66086-2019")</f>
        <v/>
      </c>
      <c r="Y8">
        <f>HYPERLINK("https://klasma.github.io/Logging_1962/tillsynsmail/A 66086-2019 tillsynsbegäran mail.docx", "A 66086-2019")</f>
        <v/>
      </c>
    </row>
    <row r="9" ht="15" customHeight="1">
      <c r="A9" t="inlineStr">
        <is>
          <t>A 2313-2021</t>
        </is>
      </c>
      <c r="B9" s="1" t="n">
        <v>44213</v>
      </c>
      <c r="C9" s="1" t="n">
        <v>45472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Sotnätfjäril
Tvåblad</t>
        </is>
      </c>
      <c r="S9">
        <f>HYPERLINK("https://klasma.github.io/Logging_1962/artfynd/A 2313-2021 artfynd.xlsx", "A 2313-2021")</f>
        <v/>
      </c>
      <c r="T9">
        <f>HYPERLINK("https://klasma.github.io/Logging_1962/kartor/A 2313-2021 karta.png", "A 2313-2021")</f>
        <v/>
      </c>
      <c r="V9">
        <f>HYPERLINK("https://klasma.github.io/Logging_1962/klagomål/A 2313-2021 FSC-klagomål.docx", "A 2313-2021")</f>
        <v/>
      </c>
      <c r="W9">
        <f>HYPERLINK("https://klasma.github.io/Logging_1962/klagomålsmail/A 2313-2021 FSC-klagomål mail.docx", "A 2313-2021")</f>
        <v/>
      </c>
      <c r="X9">
        <f>HYPERLINK("https://klasma.github.io/Logging_1962/tillsyn/A 2313-2021 tillsynsbegäran.docx", "A 2313-2021")</f>
        <v/>
      </c>
      <c r="Y9">
        <f>HYPERLINK("https://klasma.github.io/Logging_1962/tillsynsmail/A 2313-2021 tillsynsbegäran mail.docx", "A 2313-2021")</f>
        <v/>
      </c>
    </row>
    <row r="10" ht="15" customHeight="1">
      <c r="A10" t="inlineStr">
        <is>
          <t>A 25843-2021</t>
        </is>
      </c>
      <c r="B10" s="1" t="n">
        <v>44343</v>
      </c>
      <c r="C10" s="1" t="n">
        <v>45472</v>
      </c>
      <c r="D10" t="inlineStr">
        <is>
          <t>VÄSTMANLANDS LÄN</t>
        </is>
      </c>
      <c r="E10" t="inlineStr">
        <is>
          <t>NORBERG</t>
        </is>
      </c>
      <c r="G10" t="n">
        <v>2.2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Bårdlav</t>
        </is>
      </c>
      <c r="S10">
        <f>HYPERLINK("https://klasma.github.io/Logging_1962/artfynd/A 25843-2021 artfynd.xlsx", "A 25843-2021")</f>
        <v/>
      </c>
      <c r="T10">
        <f>HYPERLINK("https://klasma.github.io/Logging_1962/kartor/A 25843-2021 karta.png", "A 25843-2021")</f>
        <v/>
      </c>
      <c r="U10">
        <f>HYPERLINK("https://klasma.github.io/Logging_1962/knärot/A 25843-2021 karta knärot.png", "A 25843-2021")</f>
        <v/>
      </c>
      <c r="V10">
        <f>HYPERLINK("https://klasma.github.io/Logging_1962/klagomål/A 25843-2021 FSC-klagomål.docx", "A 25843-2021")</f>
        <v/>
      </c>
      <c r="W10">
        <f>HYPERLINK("https://klasma.github.io/Logging_1962/klagomålsmail/A 25843-2021 FSC-klagomål mail.docx", "A 25843-2021")</f>
        <v/>
      </c>
      <c r="X10">
        <f>HYPERLINK("https://klasma.github.io/Logging_1962/tillsyn/A 25843-2021 tillsynsbegäran.docx", "A 25843-2021")</f>
        <v/>
      </c>
      <c r="Y10">
        <f>HYPERLINK("https://klasma.github.io/Logging_1962/tillsynsmail/A 25843-2021 tillsynsbegäran mail.docx", "A 25843-2021")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45472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45472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45472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45472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45472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45472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45472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45472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45472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45472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45472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45472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45472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45472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45472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45472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45472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45472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45472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45472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45472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45472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45472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45472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45472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45472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45472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45472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45472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45472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45472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45472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45472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45472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45472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45472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45472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45472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45472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45472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45472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45472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45472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45472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45472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45472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45472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45472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45472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45472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45472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45472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45472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45472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45472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45472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45472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45472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45472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45472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45472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45472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45472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45472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45472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45472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45472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45472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45472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45472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45472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45472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45472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45472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45472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45472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45472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45472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45472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45472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45472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45472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45472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45472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45472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45472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45472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45472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45472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45472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45472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45472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45472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45472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45472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45472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45472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45472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45472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45472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45472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45472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45472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45472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45472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45472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45472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45472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45472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45472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45472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45472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45472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45472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45472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45472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45472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45472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45472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45472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45472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45472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45472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45472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45472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45472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45472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45472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45472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45472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45472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45472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45472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45472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45472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45472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45472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45472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45472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45472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45472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45472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45472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45472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45472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45472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45472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45472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45472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45472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45472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45472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45472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45472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45472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45472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45472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45472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45472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45472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45472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45472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45472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45472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45472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45472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45472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45472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45472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45472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45472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45472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45472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45472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45472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45472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45472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45472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45472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45472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45472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45472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45472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45472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45472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45472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45472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45472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45472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45472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45472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45472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45472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45472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45472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45472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45472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45472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45472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45472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45472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45472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45472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45472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45472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45472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45472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45472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45472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45472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45472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45472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45472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45472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45472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45472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45472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45472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45472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45472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45472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45472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45472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45472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45472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45472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45472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45472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45472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45472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45472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45472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45472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45472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45472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45472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45472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45472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45472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45472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45472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45472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45472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45472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45472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45472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45472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45472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45472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45472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45472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45472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45472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45472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45472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45472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45472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45472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45472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45472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45472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45472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45472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45472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45472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45472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45472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45472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45472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45472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45472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45472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45472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45472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45472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45472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45472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45472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45472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45472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45472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45472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45472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45472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45472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45472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45472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45472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45472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45472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45472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45472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45472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45472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45472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45472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45472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45472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45472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45472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45472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45472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45472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45472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45472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45472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45472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45472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45472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45472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45472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45472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45472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45472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45472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45472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45472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45472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26519-2024</t>
        </is>
      </c>
      <c r="B329" s="1" t="n">
        <v>45469</v>
      </c>
      <c r="C329" s="1" t="n">
        <v>45472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2024-06-29T13:58:40Z</dcterms:created>
  <dcterms:modified xmlns:dcterms="http://purl.org/dc/terms/" xmlns:xsi="http://www.w3.org/2001/XMLSchema-instance" xsi:type="dcterms:W3CDTF">2024-06-29T13:58:41Z</dcterms:modified>
</cp:coreProperties>
</file>