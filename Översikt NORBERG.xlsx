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46248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46248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46248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46248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46248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46248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46248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46248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46248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56936-2021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44480</v>
      </c>
      <c r="E11" s="1" t="n">
        <v>46248</v>
      </c>
      <c r="F11" t="inlineStr">
        <is>
          <t>VÄSTMANLANDS LÄN</t>
        </is>
      </c>
      <c r="G11" t="inlineStr">
        <is>
          <t>NORBERG</t>
        </is>
      </c>
      <c r="I11" t="n">
        <v>2.4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Blåsippa</t>
        </is>
      </c>
      <c r="W11">
        <f>HYPERLINK("https://klasma.github.io/Logging_1962/artfynd/A 56936-2021 artfynd.xlsx", "A 56936-2021")</f>
        <v/>
      </c>
      <c r="X11">
        <f>HYPERLINK("https://klasma.github.io/Logging_1962/kartor/A 56936-2021 karta.png", "A 56936-2021")</f>
        <v/>
      </c>
      <c r="Y11">
        <f>HYPERLINK("https://klasma.github.io/Logging_1962/kartor_geotiff/A 56936-2021 georefererad karta.tif", "A 56936-2021")</f>
        <v/>
      </c>
      <c r="AA11">
        <f>HYPERLINK("https://klasma.github.io/Logging_1962/klagomål/A 56936-2021 FSC-klagomål.docx", "A 56936-2021")</f>
        <v/>
      </c>
      <c r="AB11">
        <f>HYPERLINK("https://klasma.github.io/Logging_1962/klagomålsmail/A 56936-2021 FSC-klagomål mail.docx", "A 56936-2021")</f>
        <v/>
      </c>
      <c r="AC11">
        <f>HYPERLINK("https://klasma.github.io/Logging_1962/tillsyn/A 56936-2021 tillsynsbegäran.docx", "A 56936-2021")</f>
        <v/>
      </c>
      <c r="AD11">
        <f>HYPERLINK("https://klasma.github.io/Logging_1962/tillsynsmail/A 56936-2021 tillsynsbegäran mail.docx", "A 56936-2021")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46248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52063-2022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44873</v>
      </c>
      <c r="E13" s="1" t="n">
        <v>46248</v>
      </c>
      <c r="F13" t="inlineStr">
        <is>
          <t>VÄSTMANLANDS LÄN</t>
        </is>
      </c>
      <c r="G13" t="inlineStr">
        <is>
          <t>NORBERG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HYPERLINK("https://klasma.github.io/Logging_1962/artfynd/A 52063-2022 artfynd.xlsx", "A 52063-2022")</f>
        <v/>
      </c>
      <c r="X13">
        <f>HYPERLINK("https://klasma.github.io/Logging_1962/kartor/A 52063-2022 karta.png", "A 52063-2022")</f>
        <v/>
      </c>
      <c r="Y13">
        <f>HYPERLINK("https://klasma.github.io/Logging_1962/kartor_geotiff/A 52063-2022 georefererad karta.tif", "A 52063-2022")</f>
        <v/>
      </c>
      <c r="AA13">
        <f>HYPERLINK("https://klasma.github.io/Logging_1962/klagomål/A 52063-2022 FSC-klagomål.docx", "A 52063-2022")</f>
        <v/>
      </c>
      <c r="AB13">
        <f>HYPERLINK("https://klasma.github.io/Logging_1962/klagomålsmail/A 52063-2022 FSC-klagomål mail.docx", "A 52063-2022")</f>
        <v/>
      </c>
      <c r="AC13">
        <f>HYPERLINK("https://klasma.github.io/Logging_1962/tillsyn/A 52063-2022 tillsynsbegäran.docx", "A 52063-2022")</f>
        <v/>
      </c>
      <c r="AD13">
        <f>HYPERLINK("https://klasma.github.io/Logging_1962/tillsynsmail/A 52063-2022 tillsynsbegäran mail.docx", "A 52063-2022")</f>
        <v/>
      </c>
    </row>
    <row r="14" ht="15" customHeight="1">
      <c r="A14" t="inlineStr">
        <is>
          <t>A 15107-2025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45744</v>
      </c>
      <c r="E14" s="1" t="n">
        <v>46248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HYPERLINK("https://klasma.github.io/Logging_1962/artfynd/A 15107-2025 artfynd.xlsx", "A 15107-2025")</f>
        <v/>
      </c>
      <c r="X14">
        <f>HYPERLINK("https://klasma.github.io/Logging_1962/kartor/A 15107-2025 karta.png", "A 15107-2025")</f>
        <v/>
      </c>
      <c r="Y14">
        <f>HYPERLINK("https://klasma.github.io/Logging_1962/kartor_geotiff/A 15107-2025 georefererad karta.tif", "A 15107-2025")</f>
        <v/>
      </c>
      <c r="AA14">
        <f>HYPERLINK("https://klasma.github.io/Logging_1962/klagomål/A 15107-2025 FSC-klagomål.docx", "A 15107-2025")</f>
        <v/>
      </c>
      <c r="AB14">
        <f>HYPERLINK("https://klasma.github.io/Logging_1962/klagomålsmail/A 15107-2025 FSC-klagomål mail.docx", "A 15107-2025")</f>
        <v/>
      </c>
      <c r="AC14">
        <f>HYPERLINK("https://klasma.github.io/Logging_1962/tillsyn/A 15107-2025 tillsynsbegäran.docx", "A 15107-2025")</f>
        <v/>
      </c>
      <c r="AD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46248</v>
      </c>
      <c r="F15" t="inlineStr">
        <is>
          <t>VÄSTMANLANDS LÄN</t>
        </is>
      </c>
      <c r="G15" t="inlineStr">
        <is>
          <t>NORBERG</t>
        </is>
      </c>
      <c r="I15" t="n">
        <v>0.4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61099-2024 artfynd.xlsx", "A 61099-2024")</f>
        <v/>
      </c>
      <c r="X15">
        <f>HYPERLINK("https://klasma.github.io/Logging_1962/kartor/A 61099-2024 karta.png", "A 61099-2024")</f>
        <v/>
      </c>
      <c r="Y15">
        <f>HYPERLINK("https://klasma.github.io/Logging_1962/kartor_geotiff/A 61099-2024 georefererad karta.tif", "A 61099-2024")</f>
        <v/>
      </c>
      <c r="AA15">
        <f>HYPERLINK("https://klasma.github.io/Logging_1962/klagomål/A 61099-2024 FSC-klagomål.docx", "A 61099-2024")</f>
        <v/>
      </c>
      <c r="AB15">
        <f>HYPERLINK("https://klasma.github.io/Logging_1962/klagomålsmail/A 61099-2024 FSC-klagomål mail.docx", "A 61099-2024")</f>
        <v/>
      </c>
      <c r="AC15">
        <f>HYPERLINK("https://klasma.github.io/Logging_1962/tillsyn/A 61099-2024 tillsynsbegäran.docx", "A 61099-2024")</f>
        <v/>
      </c>
      <c r="AD15">
        <f>HYPERLINK("https://klasma.github.io/Logging_1962/tillsynsmail/A 61099-2024 tillsynsbegäran mail.docx", "A 61099-2024")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46248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46248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A 28307-2026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46196</v>
      </c>
      <c r="E18" s="1" t="n">
        <v>46248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28307-2026 artfynd.xlsx", "A 28307-2026")</f>
        <v/>
      </c>
      <c r="X18">
        <f>HYPERLINK("https://klasma.github.io/Logging_1962/kartor/A 28307-2026 karta.png", "A 28307-2026")</f>
        <v/>
      </c>
      <c r="Y18">
        <f>HYPERLINK("https://klasma.github.io/Logging_1962/kartor_geotiff/A 28307-2026 georefererad karta.tif", "A 28307-2026")</f>
        <v/>
      </c>
      <c r="AA18">
        <f>HYPERLINK("https://klasma.github.io/Logging_1962/klagomål/A 28307-2026 FSC-klagomål.docx", "A 28307-2026")</f>
        <v/>
      </c>
      <c r="AB18">
        <f>HYPERLINK("https://klasma.github.io/Logging_1962/klagomålsmail/A 28307-2026 FSC-klagomål mail.docx", "A 28307-2026")</f>
        <v/>
      </c>
      <c r="AC18">
        <f>HYPERLINK("https://klasma.github.io/Logging_1962/tillsyn/A 28307-2026 tillsynsbegäran.docx", "A 28307-2026")</f>
        <v/>
      </c>
      <c r="AD18">
        <f>HYPERLINK("https://klasma.github.io/Logging_1962/tillsynsmail/A 28307-2026 tillsynsbegäran mail.docx", "A 28307-2026")</f>
        <v/>
      </c>
    </row>
    <row r="19" ht="15" customHeight="1">
      <c r="A19" t="inlineStr">
        <is>
          <t>S 4857-2024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45608</v>
      </c>
      <c r="E19" s="1" t="n">
        <v>46248</v>
      </c>
      <c r="F19" t="inlineStr">
        <is>
          <t>VÄSTMANLANDS LÄN</t>
        </is>
      </c>
      <c r="G19" t="inlineStr">
        <is>
          <t>NORBERG</t>
        </is>
      </c>
      <c r="I19" t="n">
        <v>79.3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Nordfladdermus</t>
        </is>
      </c>
      <c r="W19">
        <f>HYPERLINK("https://klasma.github.io/Logging_1962/artfynd/S 4857-2024 artfynd.xlsx", "S 4857-2024")</f>
        <v/>
      </c>
      <c r="X19">
        <f>HYPERLINK("https://klasma.github.io/Logging_1962/kartor/S 4857-2024 karta.png", "S 4857-2024")</f>
        <v/>
      </c>
      <c r="Y19">
        <f>HYPERLINK("https://klasma.github.io/Logging_1962/kartor_geotiff/S 4857-2024 georefererad karta.tif", "S 4857-2024")</f>
        <v/>
      </c>
      <c r="AA19">
        <f>HYPERLINK("https://klasma.github.io/Logging_1962/klagomål/S 4857-2024 FSC-klagomål.docx", "S 4857-2024")</f>
        <v/>
      </c>
      <c r="AB19">
        <f>HYPERLINK("https://klasma.github.io/Logging_1962/klagomålsmail/S 4857-2024 FSC-klagomål mail.docx", "S 4857-2024")</f>
        <v/>
      </c>
      <c r="AC19">
        <f>HYPERLINK("https://klasma.github.io/Logging_1962/tillsyn/S 4857-2024 tillsynsbegäran.docx", "S 4857-2024")</f>
        <v/>
      </c>
      <c r="AD19">
        <f>HYPERLINK("https://klasma.github.io/Logging_1962/tillsynsmail/S 4857-2024 tillsynsbegäran mail.docx", "S 4857-2024")</f>
        <v/>
      </c>
    </row>
    <row r="20" ht="15" customHeight="1">
      <c r="A20" t="inlineStr">
        <is>
          <t>S 920-2025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45737</v>
      </c>
      <c r="E20" s="1" t="n">
        <v>46248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Lopplummer (aggregat)</t>
        </is>
      </c>
      <c r="W20">
        <f>HYPERLINK("https://klasma.github.io/Logging_1962/artfynd/S 920-2025 artfynd.xlsx", "S 920-2025")</f>
        <v/>
      </c>
      <c r="X20">
        <f>HYPERLINK("https://klasma.github.io/Logging_1962/kartor/S 920-2025 karta.png", "S 920-2025")</f>
        <v/>
      </c>
      <c r="Y20">
        <f>HYPERLINK("https://klasma.github.io/Logging_1962/kartor_geotiff/S 920-2025 georefererad karta.tif", "S 920-2025")</f>
        <v/>
      </c>
      <c r="AA20">
        <f>HYPERLINK("https://klasma.github.io/Logging_1962/klagomål/S 920-2025 FSC-klagomål.docx", "S 920-2025")</f>
        <v/>
      </c>
      <c r="AB20">
        <f>HYPERLINK("https://klasma.github.io/Logging_1962/klagomålsmail/S 920-2025 FSC-klagomål mail.docx", "S 920-2025")</f>
        <v/>
      </c>
      <c r="AC20">
        <f>HYPERLINK("https://klasma.github.io/Logging_1962/tillsyn/S 920-2025 tillsynsbegäran.docx", "S 920-2025")</f>
        <v/>
      </c>
      <c r="AD20">
        <f>HYPERLINK("https://klasma.github.io/Logging_1962/tillsynsmail/S 920-2025 tillsynsbegäran mail.docx", "S 920-2025")</f>
        <v/>
      </c>
    </row>
    <row r="21" ht="15" customHeight="1">
      <c r="A21" t="inlineStr">
        <is>
          <t>A 45929-2021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44441</v>
      </c>
      <c r="E21" s="1" t="n">
        <v>46248</v>
      </c>
      <c r="F21" t="inlineStr">
        <is>
          <t>VÄSTMANLANDS LÄN</t>
        </is>
      </c>
      <c r="G21" t="inlineStr">
        <is>
          <t>NORBERG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51415-2022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46248</v>
      </c>
      <c r="F22" t="inlineStr">
        <is>
          <t>VÄSTMANLANDS LÄN</t>
        </is>
      </c>
      <c r="G22" t="inlineStr">
        <is>
          <t>NORBERG</t>
        </is>
      </c>
      <c r="H22" t="inlineStr">
        <is>
          <t>Övriga Aktiebolag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46248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49163-2022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46248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44838</v>
      </c>
      <c r="E25" s="1" t="n">
        <v>46248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52076-2022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44873</v>
      </c>
      <c r="E26" s="1" t="n">
        <v>46248</v>
      </c>
      <c r="F26" t="inlineStr">
        <is>
          <t>VÄSTMANLANDS LÄN</t>
        </is>
      </c>
      <c r="G26" t="inlineStr">
        <is>
          <t>NORBERG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44452</v>
      </c>
      <c r="E27" s="1" t="n">
        <v>46248</v>
      </c>
      <c r="F27" t="inlineStr">
        <is>
          <t>VÄSTMANLANDS LÄN</t>
        </is>
      </c>
      <c r="G27" t="inlineStr">
        <is>
          <t>NORBERG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45934-2021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44441</v>
      </c>
      <c r="E28" s="1" t="n">
        <v>46248</v>
      </c>
      <c r="F28" t="inlineStr">
        <is>
          <t>VÄSTMANLANDS LÄN</t>
        </is>
      </c>
      <c r="G28" t="inlineStr">
        <is>
          <t>NORBERG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44600</v>
      </c>
      <c r="E29" s="1" t="n">
        <v>46248</v>
      </c>
      <c r="F29" t="inlineStr">
        <is>
          <t>VÄSTMANLANDS LÄN</t>
        </is>
      </c>
      <c r="G29" t="inlineStr">
        <is>
          <t>NORBERG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46248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46641-2022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44849</v>
      </c>
      <c r="E31" s="1" t="n">
        <v>46248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56929-2021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44480</v>
      </c>
      <c r="E32" s="1" t="n">
        <v>46248</v>
      </c>
      <c r="F32" t="inlineStr">
        <is>
          <t>VÄSTMANLANDS LÄN</t>
        </is>
      </c>
      <c r="G32" t="inlineStr">
        <is>
          <t>NORBERG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48143-2021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46248</v>
      </c>
      <c r="F33" t="inlineStr">
        <is>
          <t>VÄSTMANLANDS LÄN</t>
        </is>
      </c>
      <c r="G33" t="inlineStr">
        <is>
          <t>NORBERG</t>
        </is>
      </c>
      <c r="H33" t="inlineStr">
        <is>
          <t>Bergvik skog väst AB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46248</v>
      </c>
      <c r="F34" t="inlineStr">
        <is>
          <t>VÄSTMANLANDS LÄN</t>
        </is>
      </c>
      <c r="G34" t="inlineStr">
        <is>
          <t>NORBERG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46248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46248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46248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46248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67361-2021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44523</v>
      </c>
      <c r="E39" s="1" t="n">
        <v>46248</v>
      </c>
      <c r="F39" t="inlineStr">
        <is>
          <t>VÄSTMANLANDS LÄN</t>
        </is>
      </c>
      <c r="G39" t="inlineStr">
        <is>
          <t>NORBERG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46248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51778-2024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45607</v>
      </c>
      <c r="E41" s="1" t="n">
        <v>46248</v>
      </c>
      <c r="F41" t="inlineStr">
        <is>
          <t>VÄSTMANLANDS LÄN</t>
        </is>
      </c>
      <c r="G41" t="inlineStr">
        <is>
          <t>NORBERG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45405</v>
      </c>
      <c r="E42" s="1" t="n">
        <v>46248</v>
      </c>
      <c r="F42" t="inlineStr">
        <is>
          <t>VÄSTMANLANDS LÄN</t>
        </is>
      </c>
      <c r="G42" t="inlineStr">
        <is>
          <t>NORBERG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19173-2025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46248</v>
      </c>
      <c r="F43" t="inlineStr">
        <is>
          <t>VÄSTMANLANDS LÄN</t>
        </is>
      </c>
      <c r="G43" t="inlineStr">
        <is>
          <t>NORBERG</t>
        </is>
      </c>
      <c r="H43" t="inlineStr">
        <is>
          <t>Övriga Aktiebolag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73797-2021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44552</v>
      </c>
      <c r="E44" s="1" t="n">
        <v>46248</v>
      </c>
      <c r="F44" t="inlineStr">
        <is>
          <t>VÄSTMANLANDS LÄN</t>
        </is>
      </c>
      <c r="G44" t="inlineStr">
        <is>
          <t>NORBERG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44635</v>
      </c>
      <c r="E45" s="1" t="n">
        <v>46248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20381-2023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45056</v>
      </c>
      <c r="E46" s="1" t="n">
        <v>46248</v>
      </c>
      <c r="F46" t="inlineStr">
        <is>
          <t>VÄSTMANLANDS LÄN</t>
        </is>
      </c>
      <c r="G46" t="inlineStr">
        <is>
          <t>NORBERG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37198-2023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45155</v>
      </c>
      <c r="E47" s="1" t="n">
        <v>46248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46248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20378-2023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45056</v>
      </c>
      <c r="E49" s="1" t="n">
        <v>46248</v>
      </c>
      <c r="F49" t="inlineStr">
        <is>
          <t>VÄSTMANLANDS LÄN</t>
        </is>
      </c>
      <c r="G49" t="inlineStr">
        <is>
          <t>NORBERG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45639</v>
      </c>
      <c r="E50" s="1" t="n">
        <v>46248</v>
      </c>
      <c r="F50" t="inlineStr">
        <is>
          <t>VÄSTMANLANDS LÄN</t>
        </is>
      </c>
      <c r="G50" t="inlineStr">
        <is>
          <t>NORBERG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45474</v>
      </c>
      <c r="E51" s="1" t="n">
        <v>46248</v>
      </c>
      <c r="F51" t="inlineStr">
        <is>
          <t>VÄSTMANLANDS LÄN</t>
        </is>
      </c>
      <c r="G51" t="inlineStr">
        <is>
          <t>NORBERG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54306-2023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46248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47753-2024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46248</v>
      </c>
      <c r="F53" t="inlineStr">
        <is>
          <t>VÄSTMANLANDS LÄN</t>
        </is>
      </c>
      <c r="G53" t="inlineStr">
        <is>
          <t>NORBERG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7744-2023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44973</v>
      </c>
      <c r="E54" s="1" t="n">
        <v>46248</v>
      </c>
      <c r="F54" t="inlineStr">
        <is>
          <t>VÄSTMANLANDS LÄN</t>
        </is>
      </c>
      <c r="G54" t="inlineStr">
        <is>
          <t>NORBERG</t>
        </is>
      </c>
      <c r="H54" t="inlineStr">
        <is>
          <t>Övriga Aktiebolag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45679</v>
      </c>
      <c r="E55" s="1" t="n">
        <v>46248</v>
      </c>
      <c r="F55" t="inlineStr">
        <is>
          <t>VÄSTMANLANDS LÄN</t>
        </is>
      </c>
      <c r="G55" t="inlineStr">
        <is>
          <t>NORBERG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45631</v>
      </c>
      <c r="E56" s="1" t="n">
        <v>46248</v>
      </c>
      <c r="F56" t="inlineStr">
        <is>
          <t>VÄSTMANLANDS LÄN</t>
        </is>
      </c>
      <c r="G56" t="inlineStr">
        <is>
          <t>NORBERG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11664-2023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44992</v>
      </c>
      <c r="E57" s="1" t="n">
        <v>46248</v>
      </c>
      <c r="F57" t="inlineStr">
        <is>
          <t>VÄSTMANLANDS LÄN</t>
        </is>
      </c>
      <c r="G57" t="inlineStr">
        <is>
          <t>NORBERG</t>
        </is>
      </c>
      <c r="I57" t="n">
        <v>8.300000000000001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45363</v>
      </c>
      <c r="E58" s="1" t="n">
        <v>46248</v>
      </c>
      <c r="F58" t="inlineStr">
        <is>
          <t>VÄSTMANLANDS LÄN</t>
        </is>
      </c>
      <c r="G58" t="inlineStr">
        <is>
          <t>NORBERG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17075-2023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46248</v>
      </c>
      <c r="F59" t="inlineStr">
        <is>
          <t>VÄSTMANLANDS LÄN</t>
        </is>
      </c>
      <c r="G59" t="inlineStr">
        <is>
          <t>NORBERG</t>
        </is>
      </c>
      <c r="H59" t="inlineStr">
        <is>
          <t>Bergvik skog väst AB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37200-2023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46248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48396-2023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45205</v>
      </c>
      <c r="E61" s="1" t="n">
        <v>46248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18128-2024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45420</v>
      </c>
      <c r="E62" s="1" t="n">
        <v>46248</v>
      </c>
      <c r="F62" t="inlineStr">
        <is>
          <t>VÄSTMANLANDS LÄN</t>
        </is>
      </c>
      <c r="G62" t="inlineStr">
        <is>
          <t>NORBERG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36905-2023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45154</v>
      </c>
      <c r="E63" s="1" t="n">
        <v>46248</v>
      </c>
      <c r="F63" t="inlineStr">
        <is>
          <t>VÄSTMANLANDS LÄN</t>
        </is>
      </c>
      <c r="G63" t="inlineStr">
        <is>
          <t>NORBERG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53030-2023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45226</v>
      </c>
      <c r="E64" s="1" t="n">
        <v>46248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45705</v>
      </c>
      <c r="E65" s="1" t="n">
        <v>46248</v>
      </c>
      <c r="F65" t="inlineStr">
        <is>
          <t>VÄSTMANLANDS LÄN</t>
        </is>
      </c>
      <c r="G65" t="inlineStr">
        <is>
          <t>NORBERG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45191</v>
      </c>
      <c r="E66" s="1" t="n">
        <v>46248</v>
      </c>
      <c r="F66" t="inlineStr">
        <is>
          <t>VÄSTMANLANDS LÄN</t>
        </is>
      </c>
      <c r="G66" t="inlineStr">
        <is>
          <t>NORBERG</t>
        </is>
      </c>
      <c r="H66" t="inlineStr">
        <is>
          <t>Bergvik skog väst AB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46864-2023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45200</v>
      </c>
      <c r="E67" s="1" t="n">
        <v>46248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45567</v>
      </c>
      <c r="E68" s="1" t="n">
        <v>46248</v>
      </c>
      <c r="F68" t="inlineStr">
        <is>
          <t>VÄSTMANLANDS LÄN</t>
        </is>
      </c>
      <c r="G68" t="inlineStr">
        <is>
          <t>NORBERG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45155</v>
      </c>
      <c r="E69" s="1" t="n">
        <v>46248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7.6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49763-2024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46248</v>
      </c>
      <c r="F70" t="inlineStr">
        <is>
          <t>VÄSTMANLANDS LÄN</t>
        </is>
      </c>
      <c r="G70" t="inlineStr">
        <is>
          <t>NORBERG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45474</v>
      </c>
      <c r="E71" s="1" t="n">
        <v>46248</v>
      </c>
      <c r="F71" t="inlineStr">
        <is>
          <t>VÄSTMANLANDS LÄN</t>
        </is>
      </c>
      <c r="G71" t="inlineStr">
        <is>
          <t>NORBERG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45537</v>
      </c>
      <c r="E72" s="1" t="n">
        <v>46248</v>
      </c>
      <c r="F72" t="inlineStr">
        <is>
          <t>VÄSTMANLANDS LÄN</t>
        </is>
      </c>
      <c r="G72" t="inlineStr">
        <is>
          <t>NORBERG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45613</v>
      </c>
      <c r="E73" s="1" t="n">
        <v>46248</v>
      </c>
      <c r="F73" t="inlineStr">
        <is>
          <t>VÄSTMANLANDS LÄN</t>
        </is>
      </c>
      <c r="G73" t="inlineStr">
        <is>
          <t>NORBERG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46248</v>
      </c>
      <c r="F74" t="inlineStr">
        <is>
          <t>VÄSTMANLANDS LÄN</t>
        </is>
      </c>
      <c r="G74" t="inlineStr">
        <is>
          <t>NORBERG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44687</v>
      </c>
      <c r="E75" s="1" t="n">
        <v>46248</v>
      </c>
      <c r="F75" t="inlineStr">
        <is>
          <t>VÄSTMANLANDS LÄN</t>
        </is>
      </c>
      <c r="G75" t="inlineStr">
        <is>
          <t>NORBERG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12526-2025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45730</v>
      </c>
      <c r="E76" s="1" t="n">
        <v>46248</v>
      </c>
      <c r="F76" t="inlineStr">
        <is>
          <t>VÄSTMANLANDS LÄN</t>
        </is>
      </c>
      <c r="G76" t="inlineStr">
        <is>
          <t>NORBERG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51790-2024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45607</v>
      </c>
      <c r="E77" s="1" t="n">
        <v>46248</v>
      </c>
      <c r="F77" t="inlineStr">
        <is>
          <t>VÄSTMANLANDS LÄN</t>
        </is>
      </c>
      <c r="G77" t="inlineStr">
        <is>
          <t>NORBERG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16503-2024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45408</v>
      </c>
      <c r="E78" s="1" t="n">
        <v>46248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3131-2024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45316</v>
      </c>
      <c r="E79" s="1" t="n">
        <v>46248</v>
      </c>
      <c r="F79" t="inlineStr">
        <is>
          <t>VÄSTMANLANDS LÄN</t>
        </is>
      </c>
      <c r="G79" t="inlineStr">
        <is>
          <t>NORBERG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45764</v>
      </c>
      <c r="E80" s="1" t="n">
        <v>46248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40153-2023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45169</v>
      </c>
      <c r="E81" s="1" t="n">
        <v>46248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45560</v>
      </c>
      <c r="E82" s="1" t="n">
        <v>46248</v>
      </c>
      <c r="F82" t="inlineStr">
        <is>
          <t>VÄSTMANLANDS LÄN</t>
        </is>
      </c>
      <c r="G82" t="inlineStr">
        <is>
          <t>NORBERG</t>
        </is>
      </c>
      <c r="H82" t="inlineStr">
        <is>
          <t>Bergvik skog väst AB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44852</v>
      </c>
      <c r="E83" s="1" t="n">
        <v>46248</v>
      </c>
      <c r="F83" t="inlineStr">
        <is>
          <t>VÄSTMANLANDS LÄN</t>
        </is>
      </c>
      <c r="G83" t="inlineStr">
        <is>
          <t>NORBERG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63505-2023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45274</v>
      </c>
      <c r="E84" s="1" t="n">
        <v>46248</v>
      </c>
      <c r="F84" t="inlineStr">
        <is>
          <t>VÄSTMANLANDS LÄN</t>
        </is>
      </c>
      <c r="G84" t="inlineStr">
        <is>
          <t>NORBERG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8746-2023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44973</v>
      </c>
      <c r="E85" s="1" t="n">
        <v>46248</v>
      </c>
      <c r="F85" t="inlineStr">
        <is>
          <t>VÄSTMANLANDS LÄN</t>
        </is>
      </c>
      <c r="G85" t="inlineStr">
        <is>
          <t>NORBERG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42198-2023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45179</v>
      </c>
      <c r="E86" s="1" t="n">
        <v>46248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45200</v>
      </c>
      <c r="E87" s="1" t="n">
        <v>46248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47029-2024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45586</v>
      </c>
      <c r="E88" s="1" t="n">
        <v>46248</v>
      </c>
      <c r="F88" t="inlineStr">
        <is>
          <t>VÄSTMANLANDS LÄN</t>
        </is>
      </c>
      <c r="G88" t="inlineStr">
        <is>
          <t>NORBERG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45320</v>
      </c>
      <c r="E89" s="1" t="n">
        <v>46248</v>
      </c>
      <c r="F89" t="inlineStr">
        <is>
          <t>VÄSTMANLANDS LÄN</t>
        </is>
      </c>
      <c r="G89" t="inlineStr">
        <is>
          <t>NORBERG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46248</v>
      </c>
      <c r="F90" t="inlineStr">
        <is>
          <t>VÄSTMANLANDS LÄN</t>
        </is>
      </c>
      <c r="G90" t="inlineStr">
        <is>
          <t>NORBERG</t>
        </is>
      </c>
      <c r="H90" t="inlineStr">
        <is>
          <t>Övriga Aktiebolag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45089</v>
      </c>
      <c r="E91" s="1" t="n">
        <v>46248</v>
      </c>
      <c r="F91" t="inlineStr">
        <is>
          <t>VÄSTMANLANDS LÄN</t>
        </is>
      </c>
      <c r="G91" t="inlineStr">
        <is>
          <t>NORBERG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45454</v>
      </c>
      <c r="E92" s="1" t="n">
        <v>46248</v>
      </c>
      <c r="F92" t="inlineStr">
        <is>
          <t>VÄSTMANLANDS LÄN</t>
        </is>
      </c>
      <c r="G92" t="inlineStr">
        <is>
          <t>NORBERG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23705-2024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45454</v>
      </c>
      <c r="E93" s="1" t="n">
        <v>46248</v>
      </c>
      <c r="F93" t="inlineStr">
        <is>
          <t>VÄSTMANLANDS LÄN</t>
        </is>
      </c>
      <c r="G93" t="inlineStr">
        <is>
          <t>NORBERG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19075-2022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46248</v>
      </c>
      <c r="F94" t="inlineStr">
        <is>
          <t>VÄSTMANLANDS LÄN</t>
        </is>
      </c>
      <c r="G94" t="inlineStr">
        <is>
          <t>NORBERG</t>
        </is>
      </c>
      <c r="H94" t="inlineStr">
        <is>
          <t>Övriga Aktiebolag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45588</v>
      </c>
      <c r="E95" s="1" t="n">
        <v>46248</v>
      </c>
      <c r="F95" t="inlineStr">
        <is>
          <t>VÄSTMANLANDS LÄN</t>
        </is>
      </c>
      <c r="G95" t="inlineStr">
        <is>
          <t>NORBERG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45196</v>
      </c>
      <c r="E96" s="1" t="n">
        <v>46248</v>
      </c>
      <c r="F96" t="inlineStr">
        <is>
          <t>VÄSTMANLANDS LÄN</t>
        </is>
      </c>
      <c r="G96" t="inlineStr">
        <is>
          <t>NORBERG</t>
        </is>
      </c>
      <c r="H96" t="inlineStr">
        <is>
          <t>Bergvik skog väst AB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45001</v>
      </c>
      <c r="E97" s="1" t="n">
        <v>46248</v>
      </c>
      <c r="F97" t="inlineStr">
        <is>
          <t>VÄSTMANLANDS LÄN</t>
        </is>
      </c>
      <c r="G97" t="inlineStr">
        <is>
          <t>NORBERG</t>
        </is>
      </c>
      <c r="I97" t="n">
        <v>22.4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45632</v>
      </c>
      <c r="E98" s="1" t="n">
        <v>46248</v>
      </c>
      <c r="F98" t="inlineStr">
        <is>
          <t>VÄSTMANLANDS LÄN</t>
        </is>
      </c>
      <c r="G98" t="inlineStr">
        <is>
          <t>NORBERG</t>
        </is>
      </c>
      <c r="H98" t="inlineStr">
        <is>
          <t>Bergvik skog väst AB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45063</v>
      </c>
      <c r="E99" s="1" t="n">
        <v>46248</v>
      </c>
      <c r="F99" t="inlineStr">
        <is>
          <t>VÄSTMANLANDS LÄN</t>
        </is>
      </c>
      <c r="G99" t="inlineStr">
        <is>
          <t>NORBERG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46248</v>
      </c>
      <c r="F100" t="inlineStr">
        <is>
          <t>VÄSTMANLANDS LÄN</t>
        </is>
      </c>
      <c r="G100" t="inlineStr">
        <is>
          <t>NORBERG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45607</v>
      </c>
      <c r="E101" s="1" t="n">
        <v>46248</v>
      </c>
      <c r="F101" t="inlineStr">
        <is>
          <t>VÄSTMANLANDS LÄN</t>
        </is>
      </c>
      <c r="G101" t="inlineStr">
        <is>
          <t>NORBERG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45049</v>
      </c>
      <c r="E102" s="1" t="n">
        <v>46248</v>
      </c>
      <c r="F102" t="inlineStr">
        <is>
          <t>VÄSTMANLANDS LÄN</t>
        </is>
      </c>
      <c r="G102" t="inlineStr">
        <is>
          <t>NORBERG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19377-2025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45769</v>
      </c>
      <c r="E103" s="1" t="n">
        <v>46248</v>
      </c>
      <c r="F103" t="inlineStr">
        <is>
          <t>VÄSTMANLANDS LÄN</t>
        </is>
      </c>
      <c r="G103" t="inlineStr">
        <is>
          <t>NORBERG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12110-2025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45729</v>
      </c>
      <c r="E104" s="1" t="n">
        <v>46248</v>
      </c>
      <c r="F104" t="inlineStr">
        <is>
          <t>VÄSTMANLANDS LÄN</t>
        </is>
      </c>
      <c r="G104" t="inlineStr">
        <is>
          <t>NORBERG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45408</v>
      </c>
      <c r="E105" s="1" t="n">
        <v>46248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67356-2021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44523</v>
      </c>
      <c r="E106" s="1" t="n">
        <v>46248</v>
      </c>
      <c r="F106" t="inlineStr">
        <is>
          <t>VÄSTMANLANDS LÄN</t>
        </is>
      </c>
      <c r="G106" t="inlineStr">
        <is>
          <t>NORBERG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16042-2024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45405</v>
      </c>
      <c r="E107" s="1" t="n">
        <v>46248</v>
      </c>
      <c r="F107" t="inlineStr">
        <is>
          <t>VÄSTMANLANDS LÄN</t>
        </is>
      </c>
      <c r="G107" t="inlineStr">
        <is>
          <t>NORBERG</t>
        </is>
      </c>
      <c r="I107" t="n">
        <v>7.7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45274</v>
      </c>
      <c r="E108" s="1" t="n">
        <v>46248</v>
      </c>
      <c r="F108" t="inlineStr">
        <is>
          <t>VÄSTMANLANDS LÄN</t>
        </is>
      </c>
      <c r="G108" t="inlineStr">
        <is>
          <t>NORBERG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45233</v>
      </c>
      <c r="E109" s="1" t="n">
        <v>46248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46248</v>
      </c>
      <c r="F110" t="inlineStr">
        <is>
          <t>VÄSTMANLANDS LÄN</t>
        </is>
      </c>
      <c r="G110" t="inlineStr">
        <is>
          <t>NORBERG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46248</v>
      </c>
      <c r="F111" t="inlineStr">
        <is>
          <t>VÄSTMANLANDS LÄN</t>
        </is>
      </c>
      <c r="G111" t="inlineStr">
        <is>
          <t>NORBERG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45121</v>
      </c>
      <c r="E112" s="1" t="n">
        <v>46248</v>
      </c>
      <c r="F112" t="inlineStr">
        <is>
          <t>VÄSTMANLANDS LÄN</t>
        </is>
      </c>
      <c r="G112" t="inlineStr">
        <is>
          <t>NORBERG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45028</v>
      </c>
      <c r="E113" s="1" t="n">
        <v>46248</v>
      </c>
      <c r="F113" t="inlineStr">
        <is>
          <t>VÄSTMANLANDS LÄN</t>
        </is>
      </c>
      <c r="G113" t="inlineStr">
        <is>
          <t>NORBERG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25477-2023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46248</v>
      </c>
      <c r="F114" t="inlineStr">
        <is>
          <t>VÄSTMANLANDS LÄN</t>
        </is>
      </c>
      <c r="G114" t="inlineStr">
        <is>
          <t>NORBERG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46248</v>
      </c>
      <c r="F115" t="inlineStr">
        <is>
          <t>VÄSTMANLANDS LÄN</t>
        </is>
      </c>
      <c r="G115" t="inlineStr">
        <is>
          <t>NORBERG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45598</v>
      </c>
      <c r="E116" s="1" t="n">
        <v>46248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45827</v>
      </c>
      <c r="E117" s="1" t="n">
        <v>46248</v>
      </c>
      <c r="F117" t="inlineStr">
        <is>
          <t>VÄSTMANLANDS LÄN</t>
        </is>
      </c>
      <c r="G117" t="inlineStr">
        <is>
          <t>NORBERG</t>
        </is>
      </c>
      <c r="H117" t="inlineStr">
        <is>
          <t>Övriga Aktiebolag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46248</v>
      </c>
      <c r="F118" t="inlineStr">
        <is>
          <t>VÄSTMANLANDS LÄN</t>
        </is>
      </c>
      <c r="G118" t="inlineStr">
        <is>
          <t>NORBERG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46019</v>
      </c>
      <c r="E119" s="1" t="n">
        <v>46248</v>
      </c>
      <c r="F119" t="inlineStr">
        <is>
          <t>VÄSTMANLANDS LÄN</t>
        </is>
      </c>
      <c r="G119" t="inlineStr">
        <is>
          <t>NORBERG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46139</v>
      </c>
      <c r="E120" s="1" t="n">
        <v>46248</v>
      </c>
      <c r="F120" t="inlineStr">
        <is>
          <t>VÄSTMANLANDS LÄN</t>
        </is>
      </c>
      <c r="G120" t="inlineStr">
        <is>
          <t>NORBERG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44727</v>
      </c>
      <c r="E121" s="1" t="n">
        <v>46248</v>
      </c>
      <c r="F121" t="inlineStr">
        <is>
          <t>VÄSTMANLANDS LÄN</t>
        </is>
      </c>
      <c r="G121" t="inlineStr">
        <is>
          <t>NORBERG</t>
        </is>
      </c>
      <c r="H121" t="inlineStr">
        <is>
          <t>Bergvik skog väst AB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46248</v>
      </c>
      <c r="F122" t="inlineStr">
        <is>
          <t>VÄSTMANLANDS LÄN</t>
        </is>
      </c>
      <c r="G122" t="inlineStr">
        <is>
          <t>NORBERG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46248</v>
      </c>
      <c r="F123" t="inlineStr">
        <is>
          <t>VÄSTMANLANDS LÄN</t>
        </is>
      </c>
      <c r="G123" t="inlineStr">
        <is>
          <t>NORBERG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46248</v>
      </c>
      <c r="F124" t="inlineStr">
        <is>
          <t>VÄSTMANLANDS LÄN</t>
        </is>
      </c>
      <c r="G124" t="inlineStr">
        <is>
          <t>NORBERG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46248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45169</v>
      </c>
      <c r="E126" s="1" t="n">
        <v>46248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20968-2026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46142</v>
      </c>
      <c r="E127" s="1" t="n">
        <v>46248</v>
      </c>
      <c r="F127" t="inlineStr">
        <is>
          <t>VÄSTMANLANDS LÄN</t>
        </is>
      </c>
      <c r="G127" t="inlineStr">
        <is>
          <t>NORBERG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21232-2024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45440</v>
      </c>
      <c r="E128" s="1" t="n">
        <v>46248</v>
      </c>
      <c r="F128" t="inlineStr">
        <is>
          <t>VÄSTMANLANDS LÄN</t>
        </is>
      </c>
      <c r="G128" t="inlineStr">
        <is>
          <t>NORBERG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21218-2026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46248</v>
      </c>
      <c r="F129" t="inlineStr">
        <is>
          <t>VÄSTMANLANDS LÄN</t>
        </is>
      </c>
      <c r="G129" t="inlineStr">
        <is>
          <t>NORBERG</t>
        </is>
      </c>
      <c r="H129" t="inlineStr">
        <is>
          <t>Bergvik skog väst AB</t>
        </is>
      </c>
      <c r="I129" t="n">
        <v>12.1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21504-2026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46248</v>
      </c>
      <c r="F130" t="inlineStr">
        <is>
          <t>VÄSTMANLANDS LÄN</t>
        </is>
      </c>
      <c r="G130" t="inlineStr">
        <is>
          <t>NORBERG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46148</v>
      </c>
      <c r="E131" s="1" t="n">
        <v>46248</v>
      </c>
      <c r="F131" t="inlineStr">
        <is>
          <t>VÄSTMANLANDS LÄN</t>
        </is>
      </c>
      <c r="G131" t="inlineStr">
        <is>
          <t>NORBERG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46248</v>
      </c>
      <c r="F132" t="inlineStr">
        <is>
          <t>VÄSTMANLANDS LÄN</t>
        </is>
      </c>
      <c r="G132" t="inlineStr">
        <is>
          <t>NORBERG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45882</v>
      </c>
      <c r="E133" s="1" t="n">
        <v>46248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15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46248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46041-2023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46248</v>
      </c>
      <c r="F135" t="inlineStr">
        <is>
          <t>VÄSTMANLANDS LÄN</t>
        </is>
      </c>
      <c r="G135" t="inlineStr">
        <is>
          <t>NORBERG</t>
        </is>
      </c>
      <c r="H135" t="inlineStr">
        <is>
          <t>Bergvik skog väst AB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46248</v>
      </c>
      <c r="F136" t="inlineStr">
        <is>
          <t>VÄSTMANLANDS LÄN</t>
        </is>
      </c>
      <c r="G136" t="inlineStr">
        <is>
          <t>NORBERG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46153</v>
      </c>
      <c r="E137" s="1" t="n">
        <v>46248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46153</v>
      </c>
      <c r="E138" s="1" t="n">
        <v>46248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45882</v>
      </c>
      <c r="E139" s="1" t="n">
        <v>46248</v>
      </c>
      <c r="F139" t="inlineStr">
        <is>
          <t>VÄSTMANLANDS LÄN</t>
        </is>
      </c>
      <c r="G139" t="inlineStr">
        <is>
          <t>NORBERG</t>
        </is>
      </c>
      <c r="H139" t="inlineStr">
        <is>
          <t>Övriga Aktiebolag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46248</v>
      </c>
      <c r="F140" t="inlineStr">
        <is>
          <t>VÄSTMANLANDS LÄN</t>
        </is>
      </c>
      <c r="G140" t="inlineStr">
        <is>
          <t>NORBERG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46153</v>
      </c>
      <c r="E141" s="1" t="n">
        <v>46248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23433-2025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45792</v>
      </c>
      <c r="E142" s="1" t="n">
        <v>46248</v>
      </c>
      <c r="F142" t="inlineStr">
        <is>
          <t>VÄSTMANLANDS LÄN</t>
        </is>
      </c>
      <c r="G142" t="inlineStr">
        <is>
          <t>NORBERG</t>
        </is>
      </c>
      <c r="H142" t="inlineStr">
        <is>
          <t>Övriga Aktiebolag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56400-2025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45974</v>
      </c>
      <c r="E143" s="1" t="n">
        <v>46248</v>
      </c>
      <c r="F143" t="inlineStr">
        <is>
          <t>VÄSTMANLANDS LÄN</t>
        </is>
      </c>
      <c r="G143" t="inlineStr">
        <is>
          <t>NORBERG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45792</v>
      </c>
      <c r="E144" s="1" t="n">
        <v>46248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45290-2024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46248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9.300000000000001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45918</v>
      </c>
      <c r="E146" s="1" t="n">
        <v>46248</v>
      </c>
      <c r="F146" t="inlineStr">
        <is>
          <t>VÄSTMANLANDS LÄN</t>
        </is>
      </c>
      <c r="G146" t="inlineStr">
        <is>
          <t>NORBERG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49001-2025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46248</v>
      </c>
      <c r="F147" t="inlineStr">
        <is>
          <t>VÄSTMANLANDS LÄN</t>
        </is>
      </c>
      <c r="G147" t="inlineStr">
        <is>
          <t>NORBERG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46248</v>
      </c>
      <c r="F148" t="inlineStr">
        <is>
          <t>VÄSTMANLANDS LÄN</t>
        </is>
      </c>
      <c r="G148" t="inlineStr">
        <is>
          <t>NORBERG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46176</v>
      </c>
      <c r="E149" s="1" t="n">
        <v>46248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7.4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46223</v>
      </c>
      <c r="E150" s="1" t="n">
        <v>46248</v>
      </c>
      <c r="F150" t="inlineStr">
        <is>
          <t>VÄSTMANLANDS LÄN</t>
        </is>
      </c>
      <c r="G150" t="inlineStr">
        <is>
          <t>NORBERG</t>
        </is>
      </c>
      <c r="I150" t="n">
        <v>9.800000000000001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45966</v>
      </c>
      <c r="E151" s="1" t="n">
        <v>46248</v>
      </c>
      <c r="F151" t="inlineStr">
        <is>
          <t>VÄSTMANLANDS LÄN</t>
        </is>
      </c>
      <c r="G151" t="inlineStr">
        <is>
          <t>NORBERG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45978</v>
      </c>
      <c r="E152" s="1" t="n">
        <v>46248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31967-2026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46232</v>
      </c>
      <c r="E153" s="1" t="n">
        <v>46248</v>
      </c>
      <c r="F153" t="inlineStr">
        <is>
          <t>VÄSTMANLANDS LÄN</t>
        </is>
      </c>
      <c r="G153" t="inlineStr">
        <is>
          <t>NORBERG</t>
        </is>
      </c>
      <c r="H153" t="inlineStr">
        <is>
          <t>Bergvik skog väst AB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27473-2026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46248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13.7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46232</v>
      </c>
      <c r="E155" s="1" t="n">
        <v>46248</v>
      </c>
      <c r="F155" t="inlineStr">
        <is>
          <t>VÄSTMANLANDS LÄN</t>
        </is>
      </c>
      <c r="G155" t="inlineStr">
        <is>
          <t>NORBERG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46233</v>
      </c>
      <c r="E156" s="1" t="n">
        <v>46248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46189</v>
      </c>
      <c r="E157" s="1" t="n">
        <v>46248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46190</v>
      </c>
      <c r="E158" s="1" t="n">
        <v>46248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46248</v>
      </c>
      <c r="F159" t="inlineStr">
        <is>
          <t>VÄSTMANLANDS LÄN</t>
        </is>
      </c>
      <c r="G159" t="inlineStr">
        <is>
          <t>NORBERG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45964</v>
      </c>
      <c r="E160" s="1" t="n">
        <v>46248</v>
      </c>
      <c r="F160" t="inlineStr">
        <is>
          <t>VÄSTMANLANDS LÄN</t>
        </is>
      </c>
      <c r="G160" t="inlineStr">
        <is>
          <t>NORBERG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32385-2026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46238</v>
      </c>
      <c r="E161" s="1" t="n">
        <v>46248</v>
      </c>
      <c r="F161" t="inlineStr">
        <is>
          <t>VÄSTMANLANDS LÄN</t>
        </is>
      </c>
      <c r="G161" t="inlineStr">
        <is>
          <t>NORBERG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46248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46006</v>
      </c>
      <c r="E163" s="1" t="n">
        <v>46248</v>
      </c>
      <c r="F163" t="inlineStr">
        <is>
          <t>VÄSTMANLANDS LÄN</t>
        </is>
      </c>
      <c r="G163" t="inlineStr">
        <is>
          <t>NORBERG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62881-2025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46008</v>
      </c>
      <c r="E164" s="1" t="n">
        <v>46248</v>
      </c>
      <c r="F164" t="inlineStr">
        <is>
          <t>VÄSTMANLANDS LÄN</t>
        </is>
      </c>
      <c r="G164" t="inlineStr">
        <is>
          <t>NORBERG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62882-2025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46008</v>
      </c>
      <c r="E165" s="1" t="n">
        <v>46248</v>
      </c>
      <c r="F165" t="inlineStr">
        <is>
          <t>VÄSTMANLANDS LÄN</t>
        </is>
      </c>
      <c r="G165" t="inlineStr">
        <is>
          <t>NORBERG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62883-2025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46248</v>
      </c>
      <c r="F166" t="inlineStr">
        <is>
          <t>VÄSTMANLANDS LÄN</t>
        </is>
      </c>
      <c r="G166" t="inlineStr">
        <is>
          <t>NORBERG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21976-2026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46248</v>
      </c>
      <c r="F167" t="inlineStr">
        <is>
          <t>VÄSTMANLANDS LÄN</t>
        </is>
      </c>
      <c r="G167" t="inlineStr">
        <is>
          <t>NORBERG</t>
        </is>
      </c>
      <c r="H167" t="inlineStr">
        <is>
          <t>Övriga Aktiebolag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46248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46014</v>
      </c>
      <c r="E169" s="1" t="n">
        <v>46248</v>
      </c>
      <c r="F169" t="inlineStr">
        <is>
          <t>VÄSTMANLANDS LÄN</t>
        </is>
      </c>
      <c r="G169" t="inlineStr">
        <is>
          <t>NORBERG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46014</v>
      </c>
      <c r="E170" s="1" t="n">
        <v>46248</v>
      </c>
      <c r="F170" t="inlineStr">
        <is>
          <t>VÄSTMANLANDS LÄN</t>
        </is>
      </c>
      <c r="G170" t="inlineStr">
        <is>
          <t>NORBERG</t>
        </is>
      </c>
      <c r="I170" t="n">
        <v>22.8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46248</v>
      </c>
      <c r="F171" t="inlineStr">
        <is>
          <t>VÄSTMANLANDS LÄN</t>
        </is>
      </c>
      <c r="G171" t="inlineStr">
        <is>
          <t>NORBERG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46248</v>
      </c>
      <c r="F172" t="inlineStr">
        <is>
          <t>VÄSTMANLANDS LÄN</t>
        </is>
      </c>
      <c r="G172" t="inlineStr">
        <is>
          <t>NORBERG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46247</v>
      </c>
      <c r="E173" s="1" t="n">
        <v>46248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46248</v>
      </c>
      <c r="F174" t="inlineStr">
        <is>
          <t>VÄSTMANLANDS LÄN</t>
        </is>
      </c>
      <c r="G174" t="inlineStr">
        <is>
          <t>NORBERG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60339-2025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45994</v>
      </c>
      <c r="E175" s="1" t="n">
        <v>46248</v>
      </c>
      <c r="F175" t="inlineStr">
        <is>
          <t>VÄSTMANLANDS LÄN</t>
        </is>
      </c>
      <c r="G175" t="inlineStr">
        <is>
          <t>NORBERG</t>
        </is>
      </c>
      <c r="H175" t="inlineStr">
        <is>
          <t>Kommuner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46093</v>
      </c>
      <c r="E176" s="1" t="n">
        <v>46248</v>
      </c>
      <c r="F176" t="inlineStr">
        <is>
          <t>VÄSTMANLANDS LÄN</t>
        </is>
      </c>
      <c r="G176" t="inlineStr">
        <is>
          <t>NORBERG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13465-2026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46093</v>
      </c>
      <c r="E177" s="1" t="n">
        <v>46248</v>
      </c>
      <c r="F177" t="inlineStr">
        <is>
          <t>VÄSTMANLANDS LÄN</t>
        </is>
      </c>
      <c r="G177" t="inlineStr">
        <is>
          <t>NORBERG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14234-2026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46099</v>
      </c>
      <c r="E178" s="1" t="n">
        <v>46248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15261-2026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46248</v>
      </c>
      <c r="F179" t="inlineStr">
        <is>
          <t>VÄSTMANLANDS LÄN</t>
        </is>
      </c>
      <c r="G179" t="inlineStr">
        <is>
          <t>NORBERG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15263-2026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46248</v>
      </c>
      <c r="F180" t="inlineStr">
        <is>
          <t>VÄSTMANLANDS LÄN</t>
        </is>
      </c>
      <c r="G180" t="inlineStr">
        <is>
          <t>NORBERG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15265-2026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46248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15981-2026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46108</v>
      </c>
      <c r="E182" s="1" t="n">
        <v>46248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46248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17063-2026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46114</v>
      </c>
      <c r="E184" s="1" t="n">
        <v>46248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46113</v>
      </c>
      <c r="E185" s="1" t="n">
        <v>46248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46119</v>
      </c>
      <c r="E186" s="1" t="n">
        <v>46248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56940-2021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44480</v>
      </c>
      <c r="E187" s="1" t="n">
        <v>46248</v>
      </c>
      <c r="F187" t="inlineStr">
        <is>
          <t>VÄSTMANLANDS LÄN</t>
        </is>
      </c>
      <c r="G187" t="inlineStr">
        <is>
          <t>NORBERG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45554</v>
      </c>
      <c r="E188" s="1" t="n">
        <v>46248</v>
      </c>
      <c r="F188" t="inlineStr">
        <is>
          <t>VÄSTMANLANDS LÄN</t>
        </is>
      </c>
      <c r="G188" t="inlineStr">
        <is>
          <t>NORBERG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45169</v>
      </c>
      <c r="E189" s="1" t="n">
        <v>46248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409-2022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44585</v>
      </c>
      <c r="E190" s="1" t="n">
        <v>46248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606-2026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46085</v>
      </c>
      <c r="E191" s="1" t="n">
        <v>46248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26.4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>
      <c r="A192" t="inlineStr">
        <is>
          <t>S 2097-2026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46238</v>
      </c>
      <c r="E192" s="1" t="n">
        <v>46248</v>
      </c>
      <c r="F192" t="inlineStr">
        <is>
          <t>VÄSTMANLANDS LÄN</t>
        </is>
      </c>
      <c r="G192" t="inlineStr">
        <is>
          <t>NORBERG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2026-08-14T01:52:20Z</dcterms:created>
  <dcterms:modified xmlns:dcterms="http://purl.org/dc/terms/" xmlns:xsi="http://www.w3.org/2001/XMLSchema-instance" xsi:type="dcterms:W3CDTF">2026-08-14T01:52:20Z</dcterms:modified>
</cp:coreProperties>
</file>