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46280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46280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46280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46280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46280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46280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46280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46280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46280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46280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46280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15107-2025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46280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15107-2025 artfynd.xlsx", "A 15107-2025")</f>
        <v/>
      </c>
      <c r="X17">
        <f>HYPERLINK("https://klasma.github.io/Logging_1962/kartor/A 15107-2025 karta.png", "A 15107-2025")</f>
        <v/>
      </c>
      <c r="Y17">
        <f>HYPERLINK("https://klasma.github.io/Logging_1962/kartor_geotiff/A 15107-2025 georefererad karta.tif", "A 15107-2025")</f>
        <v/>
      </c>
      <c r="AA17">
        <f>HYPERLINK("https://klasma.github.io/Logging_1962/klagomål/A 15107-2025 FSC-klagomål.docx", "A 15107-2025")</f>
        <v/>
      </c>
      <c r="AB17">
        <f>HYPERLINK("https://klasma.github.io/Logging_1962/klagomålsmail/A 15107-2025 FSC-klagomål mail.docx", "A 15107-2025")</f>
        <v/>
      </c>
      <c r="AC17">
        <f>HYPERLINK("https://klasma.github.io/Logging_1962/tillsyn/A 15107-2025 tillsynsbegäran.docx", "A 15107-2025")</f>
        <v/>
      </c>
      <c r="AD17">
        <f>HYPERLINK("https://klasma.github.io/Logging_1962/tillsynsmail/A 15107-2025 tillsynsbegäran mail.docx", "A 15107-2025")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46280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46280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46280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34967-2023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45142</v>
      </c>
      <c r="E21" s="1" t="n">
        <v>46280</v>
      </c>
      <c r="F21" t="inlineStr">
        <is>
          <t>VÄSTMANLANDS LÄN</t>
        </is>
      </c>
      <c r="G21" t="inlineStr">
        <is>
          <t>NORBERG</t>
        </is>
      </c>
      <c r="H21" t="inlineStr">
        <is>
          <t>Kyrkan</t>
        </is>
      </c>
      <c r="I21" t="n">
        <v>0.6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Skogsklocka</t>
        </is>
      </c>
      <c r="W21">
        <f>HYPERLINK("https://klasma.github.io/Logging_1962/artfynd/A 34967-2023 artfynd.xlsx", "A 34967-2023")</f>
        <v/>
      </c>
      <c r="X21">
        <f>HYPERLINK("https://klasma.github.io/Logging_1962/kartor/A 34967-2023 karta.png", "A 34967-2023")</f>
        <v/>
      </c>
      <c r="Y21">
        <f>HYPERLINK("https://klasma.github.io/Logging_1962/kartor_geotiff/A 34967-2023 georefererad karta.tif", "A 34967-2023")</f>
        <v/>
      </c>
      <c r="AA21">
        <f>HYPERLINK("https://klasma.github.io/Logging_1962/klagomål/A 34967-2023 FSC-klagomål.docx", "A 34967-2023")</f>
        <v/>
      </c>
      <c r="AB21">
        <f>HYPERLINK("https://klasma.github.io/Logging_1962/klagomålsmail/A 34967-2023 FSC-klagomål mail.docx", "A 34967-2023")</f>
        <v/>
      </c>
      <c r="AC21">
        <f>HYPERLINK("https://klasma.github.io/Logging_1962/tillsyn/A 34967-2023 tillsynsbegäran.docx", "A 34967-2023")</f>
        <v/>
      </c>
      <c r="AD21">
        <f>HYPERLINK("https://klasma.github.io/Logging_1962/tillsynsmail/A 34967-2023 tillsynsbegäran mail.docx", "A 34967-2023")</f>
        <v/>
      </c>
    </row>
    <row r="22" ht="15" customHeight="1">
      <c r="A22" t="inlineStr">
        <is>
          <t>A 36383-2026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46268</v>
      </c>
      <c r="E22" s="1" t="n">
        <v>46280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8.300000000000001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Plattlummer</t>
        </is>
      </c>
      <c r="W22">
        <f>HYPERLINK("https://klasma.github.io/Logging_1962/artfynd/A 36383-2026 artfynd.xlsx", "A 36383-2026")</f>
        <v/>
      </c>
      <c r="X22">
        <f>HYPERLINK("https://klasma.github.io/Logging_1962/kartor/A 36383-2026 karta.png", "A 36383-2026")</f>
        <v/>
      </c>
      <c r="Y22">
        <f>HYPERLINK("https://klasma.github.io/Logging_1962/kartor_geotiff/A 36383-2026 georefererad karta.tif", "A 36383-2026")</f>
        <v/>
      </c>
      <c r="AA22">
        <f>HYPERLINK("https://klasma.github.io/Logging_1962/klagomål/A 36383-2026 FSC-klagomål.docx", "A 36383-2026")</f>
        <v/>
      </c>
      <c r="AB22">
        <f>HYPERLINK("https://klasma.github.io/Logging_1962/klagomålsmail/A 36383-2026 FSC-klagomål mail.docx", "A 36383-2026")</f>
        <v/>
      </c>
      <c r="AC22">
        <f>HYPERLINK("https://klasma.github.io/Logging_1962/tillsyn/A 36383-2026 tillsynsbegäran.docx", "A 36383-2026")</f>
        <v/>
      </c>
      <c r="AD22">
        <f>HYPERLINK("https://klasma.github.io/Logging_1962/tillsynsmail/A 36383-2026 tillsynsbegäran mail.docx", "A 36383-2026")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46280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46280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18464-2025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46280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1.1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Skogsknipprot</t>
        </is>
      </c>
      <c r="W25">
        <f>HYPERLINK("https://klasma.github.io/Logging_1962/artfynd/A 18464-2025 artfynd.xlsx", "A 18464-2025")</f>
        <v/>
      </c>
      <c r="X25">
        <f>HYPERLINK("https://klasma.github.io/Logging_1962/kartor/A 18464-2025 karta.png", "A 18464-2025")</f>
        <v/>
      </c>
      <c r="Y25">
        <f>HYPERLINK("https://klasma.github.io/Logging_1962/kartor_geotiff/A 18464-2025 georefererad karta.tif", "A 18464-2025")</f>
        <v/>
      </c>
      <c r="AA25">
        <f>HYPERLINK("https://klasma.github.io/Logging_1962/klagomål/A 18464-2025 FSC-klagomål.docx", "A 18464-2025")</f>
        <v/>
      </c>
      <c r="AB25">
        <f>HYPERLINK("https://klasma.github.io/Logging_1962/klagomålsmail/A 18464-2025 FSC-klagomål mail.docx", "A 18464-2025")</f>
        <v/>
      </c>
      <c r="AC25">
        <f>HYPERLINK("https://klasma.github.io/Logging_1962/tillsyn/A 18464-2025 tillsynsbegäran.docx", "A 18464-2025")</f>
        <v/>
      </c>
      <c r="AD25">
        <f>HYPERLINK("https://klasma.github.io/Logging_1962/tillsynsmail/A 18464-2025 tillsynsbegäran mail.docx", "A 18464-2025")</f>
        <v/>
      </c>
    </row>
    <row r="26" ht="15" customHeight="1">
      <c r="A26" t="inlineStr">
        <is>
          <t>A 52063-2022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44873</v>
      </c>
      <c r="E26" s="1" t="n">
        <v>46280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HYPERLINK("https://klasma.github.io/Logging_1962/artfynd/A 52063-2022 artfynd.xlsx", "A 52063-2022")</f>
        <v/>
      </c>
      <c r="X26">
        <f>HYPERLINK("https://klasma.github.io/Logging_1962/kartor/A 52063-2022 karta.png", "A 52063-2022")</f>
        <v/>
      </c>
      <c r="Y26">
        <f>HYPERLINK("https://klasma.github.io/Logging_1962/kartor_geotiff/A 52063-2022 georefererad karta.tif", "A 52063-2022")</f>
        <v/>
      </c>
      <c r="AA26">
        <f>HYPERLINK("https://klasma.github.io/Logging_1962/klagomål/A 52063-2022 FSC-klagomål.docx", "A 52063-2022")</f>
        <v/>
      </c>
      <c r="AB26">
        <f>HYPERLINK("https://klasma.github.io/Logging_1962/klagomålsmail/A 52063-2022 FSC-klagomål mail.docx", "A 52063-2022")</f>
        <v/>
      </c>
      <c r="AC26">
        <f>HYPERLINK("https://klasma.github.io/Logging_1962/tillsyn/A 52063-2022 tillsynsbegäran.docx", "A 52063-2022")</f>
        <v/>
      </c>
      <c r="AD26">
        <f>HYPERLINK("https://klasma.github.io/Logging_1962/tillsynsmail/A 52063-2022 tillsynsbegäran mail.docx", "A 52063-2022")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46280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46280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46280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46280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46280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46280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46280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46280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46280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46280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46280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46280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46280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46280</v>
      </c>
      <c r="F43" t="inlineStr">
        <is>
          <t>VÄSTMANLANDS LÄN</t>
        </is>
      </c>
      <c r="G43" t="inlineStr">
        <is>
          <t>NORBERG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46280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46280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46280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46280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46280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46280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46280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46280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45576</v>
      </c>
      <c r="E52" s="1" t="n">
        <v>46280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9.300000000000001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46280</v>
      </c>
      <c r="F53" t="inlineStr">
        <is>
          <t>VÄSTMANLANDS LÄN</t>
        </is>
      </c>
      <c r="G53" t="inlineStr">
        <is>
          <t>NORBERG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46280</v>
      </c>
      <c r="F54" t="inlineStr">
        <is>
          <t>VÄSTMANLANDS LÄN</t>
        </is>
      </c>
      <c r="G54" t="inlineStr">
        <is>
          <t>NORBERG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45363</v>
      </c>
      <c r="E55" s="1" t="n">
        <v>46280</v>
      </c>
      <c r="F55" t="inlineStr">
        <is>
          <t>VÄSTMANLANDS LÄN</t>
        </is>
      </c>
      <c r="G55" t="inlineStr">
        <is>
          <t>NORBERG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46280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37200-2023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46280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36905-2023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45154</v>
      </c>
      <c r="E58" s="1" t="n">
        <v>46280</v>
      </c>
      <c r="F58" t="inlineStr">
        <is>
          <t>VÄSTMANLANDS LÄN</t>
        </is>
      </c>
      <c r="G58" t="inlineStr">
        <is>
          <t>NORBERG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46014</v>
      </c>
      <c r="E59" s="1" t="n">
        <v>46280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46014</v>
      </c>
      <c r="E60" s="1" t="n">
        <v>46280</v>
      </c>
      <c r="F60" t="inlineStr">
        <is>
          <t>VÄSTMANLANDS LÄN</t>
        </is>
      </c>
      <c r="G60" t="inlineStr">
        <is>
          <t>NORBERG</t>
        </is>
      </c>
      <c r="I60" t="n">
        <v>22.8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46020</v>
      </c>
      <c r="E61" s="1" t="n">
        <v>46280</v>
      </c>
      <c r="F61" t="inlineStr">
        <is>
          <t>VÄSTMANLANDS LÄN</t>
        </is>
      </c>
      <c r="G61" t="inlineStr">
        <is>
          <t>NORBERG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45226</v>
      </c>
      <c r="E62" s="1" t="n">
        <v>46280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46280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45200</v>
      </c>
      <c r="E64" s="1" t="n">
        <v>46280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45567</v>
      </c>
      <c r="E65" s="1" t="n">
        <v>46280</v>
      </c>
      <c r="F65" t="inlineStr">
        <is>
          <t>VÄSTMANLANDS LÄN</t>
        </is>
      </c>
      <c r="G65" t="inlineStr">
        <is>
          <t>NORBERG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46280</v>
      </c>
      <c r="F66" t="inlineStr">
        <is>
          <t>VÄSTMANLANDS LÄN</t>
        </is>
      </c>
      <c r="G66" t="inlineStr">
        <is>
          <t>NORBERG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30211-2025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46280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46280</v>
      </c>
      <c r="F68" t="inlineStr">
        <is>
          <t>VÄSTMANLANDS LÄN</t>
        </is>
      </c>
      <c r="G68" t="inlineStr">
        <is>
          <t>NORBERG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46280</v>
      </c>
      <c r="F69" t="inlineStr">
        <is>
          <t>VÄSTMANLANDS LÄN</t>
        </is>
      </c>
      <c r="G69" t="inlineStr">
        <is>
          <t>NORBERG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46280</v>
      </c>
      <c r="F70" t="inlineStr">
        <is>
          <t>VÄSTMANLANDS LÄN</t>
        </is>
      </c>
      <c r="G70" t="inlineStr">
        <is>
          <t>NORBERG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60339-2025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45994</v>
      </c>
      <c r="E71" s="1" t="n">
        <v>46280</v>
      </c>
      <c r="F71" t="inlineStr">
        <is>
          <t>VÄSTMANLANDS LÄN</t>
        </is>
      </c>
      <c r="G71" t="inlineStr">
        <is>
          <t>NORBERG</t>
        </is>
      </c>
      <c r="H71" t="inlineStr">
        <is>
          <t>Kommuner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46280</v>
      </c>
      <c r="F72" t="inlineStr">
        <is>
          <t>VÄSTMANLANDS LÄN</t>
        </is>
      </c>
      <c r="G72" t="inlineStr">
        <is>
          <t>NORBERG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46280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45316</v>
      </c>
      <c r="E74" s="1" t="n">
        <v>46280</v>
      </c>
      <c r="F74" t="inlineStr">
        <is>
          <t>VÄSTMANLANDS LÄN</t>
        </is>
      </c>
      <c r="G74" t="inlineStr">
        <is>
          <t>NORBERG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46280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46280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63505-2023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45274</v>
      </c>
      <c r="E77" s="1" t="n">
        <v>46280</v>
      </c>
      <c r="F77" t="inlineStr">
        <is>
          <t>VÄSTMANLANDS LÄN</t>
        </is>
      </c>
      <c r="G77" t="inlineStr">
        <is>
          <t>NORBERG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45179</v>
      </c>
      <c r="E78" s="1" t="n">
        <v>46280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47029-2024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45586</v>
      </c>
      <c r="E79" s="1" t="n">
        <v>46280</v>
      </c>
      <c r="F79" t="inlineStr">
        <is>
          <t>VÄSTMANLANDS LÄN</t>
        </is>
      </c>
      <c r="G79" t="inlineStr">
        <is>
          <t>NORBERG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46280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45001</v>
      </c>
      <c r="E81" s="1" t="n">
        <v>46280</v>
      </c>
      <c r="F81" t="inlineStr">
        <is>
          <t>VÄSTMANLANDS LÄN</t>
        </is>
      </c>
      <c r="G81" t="inlineStr">
        <is>
          <t>NORBERG</t>
        </is>
      </c>
      <c r="I81" t="n">
        <v>22.4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46280</v>
      </c>
      <c r="F82" t="inlineStr">
        <is>
          <t>VÄSTMANLANDS LÄN</t>
        </is>
      </c>
      <c r="G82" t="inlineStr">
        <is>
          <t>NORBERG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46280</v>
      </c>
      <c r="F83" t="inlineStr">
        <is>
          <t>VÄSTMANLANDS LÄN</t>
        </is>
      </c>
      <c r="G83" t="inlineStr">
        <is>
          <t>NORBERG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46099</v>
      </c>
      <c r="E84" s="1" t="n">
        <v>46280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11099-2022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46280</v>
      </c>
      <c r="F85" t="inlineStr">
        <is>
          <t>VÄSTMANLANDS LÄN</t>
        </is>
      </c>
      <c r="G85" t="inlineStr">
        <is>
          <t>NORBERG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46280</v>
      </c>
      <c r="F86" t="inlineStr">
        <is>
          <t>VÄSTMANLANDS LÄN</t>
        </is>
      </c>
      <c r="G86" t="inlineStr">
        <is>
          <t>NORBERG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46105</v>
      </c>
      <c r="E87" s="1" t="n">
        <v>46280</v>
      </c>
      <c r="F87" t="inlineStr">
        <is>
          <t>VÄSTMANLANDS LÄN</t>
        </is>
      </c>
      <c r="G87" t="inlineStr">
        <is>
          <t>NORBERG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46105</v>
      </c>
      <c r="E88" s="1" t="n">
        <v>46280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15981-2026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46108</v>
      </c>
      <c r="E89" s="1" t="n">
        <v>46280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46280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17063-2026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46280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46113</v>
      </c>
      <c r="E92" s="1" t="n">
        <v>46280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46280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45729</v>
      </c>
      <c r="E94" s="1" t="n">
        <v>46280</v>
      </c>
      <c r="F94" t="inlineStr">
        <is>
          <t>VÄSTMANLANDS LÄN</t>
        </is>
      </c>
      <c r="G94" t="inlineStr">
        <is>
          <t>NORBERG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46280</v>
      </c>
      <c r="F95" t="inlineStr">
        <is>
          <t>VÄSTMANLANDS LÄN</t>
        </is>
      </c>
      <c r="G95" t="inlineStr">
        <is>
          <t>NORBERG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45405</v>
      </c>
      <c r="E96" s="1" t="n">
        <v>46280</v>
      </c>
      <c r="F96" t="inlineStr">
        <is>
          <t>VÄSTMANLANDS LÄN</t>
        </is>
      </c>
      <c r="G96" t="inlineStr">
        <is>
          <t>NORBERG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46280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46280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56940-2021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44480</v>
      </c>
      <c r="E99" s="1" t="n">
        <v>46280</v>
      </c>
      <c r="F99" t="inlineStr">
        <is>
          <t>VÄSTMANLANDS LÄN</t>
        </is>
      </c>
      <c r="G99" t="inlineStr">
        <is>
          <t>NORBERG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46280</v>
      </c>
      <c r="F100" t="inlineStr">
        <is>
          <t>VÄSTMANLANDS LÄN</t>
        </is>
      </c>
      <c r="G100" t="inlineStr">
        <is>
          <t>NORBERG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45169</v>
      </c>
      <c r="E101" s="1" t="n">
        <v>46280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46280</v>
      </c>
      <c r="F102" t="inlineStr">
        <is>
          <t>VÄSTMANLANDS LÄN</t>
        </is>
      </c>
      <c r="G102" t="inlineStr">
        <is>
          <t>NORBERG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46280</v>
      </c>
      <c r="F103" t="inlineStr">
        <is>
          <t>VÄSTMANLANDS LÄN</t>
        </is>
      </c>
      <c r="G103" t="inlineStr">
        <is>
          <t>NORBERG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46280</v>
      </c>
      <c r="F104" t="inlineStr">
        <is>
          <t>VÄSTMANLANDS LÄN</t>
        </is>
      </c>
      <c r="G104" t="inlineStr">
        <is>
          <t>NORBERG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46280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45598</v>
      </c>
      <c r="E106" s="1" t="n">
        <v>46280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46280</v>
      </c>
      <c r="F107" t="inlineStr">
        <is>
          <t>VÄSTMANLANDS LÄN</t>
        </is>
      </c>
      <c r="G107" t="inlineStr">
        <is>
          <t>NORBERG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46280</v>
      </c>
      <c r="F108" t="inlineStr">
        <is>
          <t>VÄSTMANLANDS LÄN</t>
        </is>
      </c>
      <c r="G108" t="inlineStr">
        <is>
          <t>NORBERG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11664-2023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46280</v>
      </c>
      <c r="F109" t="inlineStr">
        <is>
          <t>VÄSTMANLANDS LÄN</t>
        </is>
      </c>
      <c r="G109" t="inlineStr">
        <is>
          <t>NORBERG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46280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20968-2026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46142</v>
      </c>
      <c r="E111" s="1" t="n">
        <v>46280</v>
      </c>
      <c r="F111" t="inlineStr">
        <is>
          <t>VÄSTMANLANDS LÄN</t>
        </is>
      </c>
      <c r="G111" t="inlineStr">
        <is>
          <t>NORBERG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46280</v>
      </c>
      <c r="F112" t="inlineStr">
        <is>
          <t>VÄSTMANLANDS LÄN</t>
        </is>
      </c>
      <c r="G112" t="inlineStr">
        <is>
          <t>NORBERG</t>
        </is>
      </c>
      <c r="H112" t="inlineStr">
        <is>
          <t>Bergvik skog väst AB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46280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46280</v>
      </c>
      <c r="F114" t="inlineStr">
        <is>
          <t>VÄSTMANLANDS LÄN</t>
        </is>
      </c>
      <c r="G114" t="inlineStr">
        <is>
          <t>NORBERG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46280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46280</v>
      </c>
      <c r="F116" t="inlineStr">
        <is>
          <t>VÄSTMANLANDS LÄN</t>
        </is>
      </c>
      <c r="G116" t="inlineStr">
        <is>
          <t>NORBERG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46280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46280</v>
      </c>
      <c r="F118" t="inlineStr">
        <is>
          <t>VÄSTMANLANDS LÄN</t>
        </is>
      </c>
      <c r="G118" t="inlineStr">
        <is>
          <t>NORBERG</t>
        </is>
      </c>
      <c r="H118" t="inlineStr">
        <is>
          <t>Övriga Aktiebolag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46280</v>
      </c>
      <c r="F119" t="inlineStr">
        <is>
          <t>VÄSTMANLANDS LÄN</t>
        </is>
      </c>
      <c r="G119" t="inlineStr">
        <is>
          <t>NORBERG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45974</v>
      </c>
      <c r="E120" s="1" t="n">
        <v>46280</v>
      </c>
      <c r="F120" t="inlineStr">
        <is>
          <t>VÄSTMANLANDS LÄN</t>
        </is>
      </c>
      <c r="G120" t="inlineStr">
        <is>
          <t>NORBERG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46280</v>
      </c>
      <c r="F121" t="inlineStr">
        <is>
          <t>VÄSTMANLANDS LÄN</t>
        </is>
      </c>
      <c r="G121" t="inlineStr">
        <is>
          <t>NORBERG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46176</v>
      </c>
      <c r="E122" s="1" t="n">
        <v>46280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46189</v>
      </c>
      <c r="E123" s="1" t="n">
        <v>46280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46189</v>
      </c>
      <c r="E124" s="1" t="n">
        <v>46280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46190</v>
      </c>
      <c r="E125" s="1" t="n">
        <v>46280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45103</v>
      </c>
      <c r="E126" s="1" t="n">
        <v>46280</v>
      </c>
      <c r="F126" t="inlineStr">
        <is>
          <t>VÄSTMANLANDS LÄN</t>
        </is>
      </c>
      <c r="G126" t="inlineStr">
        <is>
          <t>NORBERG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32385-2026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46238</v>
      </c>
      <c r="E127" s="1" t="n">
        <v>46280</v>
      </c>
      <c r="F127" t="inlineStr">
        <is>
          <t>VÄSTMANLANDS LÄN</t>
        </is>
      </c>
      <c r="G127" t="inlineStr">
        <is>
          <t>NORBERG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46280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46280</v>
      </c>
      <c r="F129" t="inlineStr">
        <is>
          <t>VÄSTMANLANDS LÄN</t>
        </is>
      </c>
      <c r="G129" t="inlineStr">
        <is>
          <t>NORBERG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46280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51790-2024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45607</v>
      </c>
      <c r="E131" s="1" t="n">
        <v>46280</v>
      </c>
      <c r="F131" t="inlineStr">
        <is>
          <t>VÄSTMANLANDS LÄN</t>
        </is>
      </c>
      <c r="G131" t="inlineStr">
        <is>
          <t>NORBERG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46280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46258</v>
      </c>
      <c r="E133" s="1" t="n">
        <v>46280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46280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46280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46280</v>
      </c>
      <c r="F136" t="inlineStr">
        <is>
          <t>VÄSTMANLANDS LÄN</t>
        </is>
      </c>
      <c r="G136" t="inlineStr">
        <is>
          <t>NORBERG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46223</v>
      </c>
      <c r="E137" s="1" t="n">
        <v>46280</v>
      </c>
      <c r="F137" t="inlineStr">
        <is>
          <t>VÄSTMANLANDS LÄN</t>
        </is>
      </c>
      <c r="G137" t="inlineStr">
        <is>
          <t>NORBERG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46280</v>
      </c>
      <c r="F138" t="inlineStr">
        <is>
          <t>VÄSTMANLANDS LÄN</t>
        </is>
      </c>
      <c r="G138" t="inlineStr">
        <is>
          <t>NORBERG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46280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45320</v>
      </c>
      <c r="E140" s="1" t="n">
        <v>46280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46280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8.9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45454</v>
      </c>
      <c r="E142" s="1" t="n">
        <v>46280</v>
      </c>
      <c r="F142" t="inlineStr">
        <is>
          <t>VÄSTMANLANDS LÄN</t>
        </is>
      </c>
      <c r="G142" t="inlineStr">
        <is>
          <t>NORBERG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45454</v>
      </c>
      <c r="E143" s="1" t="n">
        <v>46280</v>
      </c>
      <c r="F143" t="inlineStr">
        <is>
          <t>VÄSTMANLANDS LÄN</t>
        </is>
      </c>
      <c r="G143" t="inlineStr">
        <is>
          <t>NORBERG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46280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46280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46253</v>
      </c>
      <c r="E146" s="1" t="n">
        <v>46280</v>
      </c>
      <c r="F146" t="inlineStr">
        <is>
          <t>VÄSTMANLANDS LÄN</t>
        </is>
      </c>
      <c r="G146" t="inlineStr">
        <is>
          <t>NORBERG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46266</v>
      </c>
      <c r="E147" s="1" t="n">
        <v>46280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46280</v>
      </c>
      <c r="F148" t="inlineStr">
        <is>
          <t>VÄSTMANLANDS LÄN</t>
        </is>
      </c>
      <c r="G148" t="inlineStr">
        <is>
          <t>NORBERG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31967-2026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46232</v>
      </c>
      <c r="E149" s="1" t="n">
        <v>46280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19377-2025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45769</v>
      </c>
      <c r="E150" s="1" t="n">
        <v>46280</v>
      </c>
      <c r="F150" t="inlineStr">
        <is>
          <t>VÄSTMANLANDS LÄN</t>
        </is>
      </c>
      <c r="G150" t="inlineStr">
        <is>
          <t>NORBERG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46233</v>
      </c>
      <c r="E151" s="1" t="n">
        <v>46280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46280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45056</v>
      </c>
      <c r="E153" s="1" t="n">
        <v>46280</v>
      </c>
      <c r="F153" t="inlineStr">
        <is>
          <t>VÄSTMANLANDS LÄN</t>
        </is>
      </c>
      <c r="G153" t="inlineStr">
        <is>
          <t>NORBERG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46280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20378-2023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45056</v>
      </c>
      <c r="E155" s="1" t="n">
        <v>46280</v>
      </c>
      <c r="F155" t="inlineStr">
        <is>
          <t>VÄSTMANLANDS LÄN</t>
        </is>
      </c>
      <c r="G155" t="inlineStr">
        <is>
          <t>NORBERG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46280</v>
      </c>
      <c r="F156" t="inlineStr">
        <is>
          <t>VÄSTMANLANDS LÄN</t>
        </is>
      </c>
      <c r="G156" t="inlineStr">
        <is>
          <t>NORBERG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46280</v>
      </c>
      <c r="F157" t="inlineStr">
        <is>
          <t>VÄSTMANLANDS LÄN</t>
        </is>
      </c>
      <c r="G157" t="inlineStr">
        <is>
          <t>NORBERG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46280</v>
      </c>
      <c r="F158" t="inlineStr">
        <is>
          <t>VÄSTMANLANDS LÄN</t>
        </is>
      </c>
      <c r="G158" t="inlineStr">
        <is>
          <t>NORBERG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46280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46280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46280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46280</v>
      </c>
      <c r="F162" t="inlineStr">
        <is>
          <t>VÄSTMANLANDS LÄN</t>
        </is>
      </c>
      <c r="G162" t="inlineStr">
        <is>
          <t>NORBERG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45613</v>
      </c>
      <c r="E163" s="1" t="n">
        <v>46280</v>
      </c>
      <c r="F163" t="inlineStr">
        <is>
          <t>VÄSTMANLANDS LÄN</t>
        </is>
      </c>
      <c r="G163" t="inlineStr">
        <is>
          <t>NORBERG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46280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46280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46280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45200</v>
      </c>
      <c r="E167" s="1" t="n">
        <v>46280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46280</v>
      </c>
      <c r="F168" t="inlineStr">
        <is>
          <t>VÄSTMANLANDS LÄN</t>
        </is>
      </c>
      <c r="G168" t="inlineStr">
        <is>
          <t>NORBERG</t>
        </is>
      </c>
      <c r="H168" t="inlineStr">
        <is>
          <t>Övriga Aktiebolag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46280</v>
      </c>
      <c r="F169" t="inlineStr">
        <is>
          <t>VÄSTMANLANDS LÄN</t>
        </is>
      </c>
      <c r="G169" t="inlineStr">
        <is>
          <t>NORBERG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46280</v>
      </c>
      <c r="F170" t="inlineStr">
        <is>
          <t>VÄSTMANLANDS LÄN</t>
        </is>
      </c>
      <c r="G170" t="inlineStr">
        <is>
          <t>NORBERG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46280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46280</v>
      </c>
      <c r="F172" t="inlineStr">
        <is>
          <t>VÄSTMANLANDS LÄN</t>
        </is>
      </c>
      <c r="G172" t="inlineStr">
        <is>
          <t>NORBERG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46280</v>
      </c>
      <c r="F173" t="inlineStr">
        <is>
          <t>VÄSTMANLANDS LÄN</t>
        </is>
      </c>
      <c r="G173" t="inlineStr">
        <is>
          <t>NORBERG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46280</v>
      </c>
      <c r="F174" t="inlineStr">
        <is>
          <t>VÄSTMANLANDS LÄN</t>
        </is>
      </c>
      <c r="G174" t="inlineStr">
        <is>
          <t>NORBERG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46280</v>
      </c>
      <c r="F175" t="inlineStr">
        <is>
          <t>VÄSTMANLANDS LÄN</t>
        </is>
      </c>
      <c r="G175" t="inlineStr">
        <is>
          <t>NORBERG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46280</v>
      </c>
      <c r="F176" t="inlineStr">
        <is>
          <t>VÄSTMANLANDS LÄN</t>
        </is>
      </c>
      <c r="G176" t="inlineStr">
        <is>
          <t>NORBERG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45233</v>
      </c>
      <c r="E177" s="1" t="n">
        <v>46280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46280</v>
      </c>
      <c r="F178" t="inlineStr">
        <is>
          <t>VÄSTMANLANDS LÄN</t>
        </is>
      </c>
      <c r="G178" t="inlineStr">
        <is>
          <t>NORBERG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46280</v>
      </c>
      <c r="F179" t="inlineStr">
        <is>
          <t>VÄSTMANLANDS LÄN</t>
        </is>
      </c>
      <c r="G179" t="inlineStr">
        <is>
          <t>NORBERG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46280</v>
      </c>
      <c r="F180" t="inlineStr">
        <is>
          <t>VÄSTMANLANDS LÄN</t>
        </is>
      </c>
      <c r="G180" t="inlineStr">
        <is>
          <t>NORBERG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46280</v>
      </c>
      <c r="F181" t="inlineStr">
        <is>
          <t>VÄSTMANLANDS LÄN</t>
        </is>
      </c>
      <c r="G181" t="inlineStr">
        <is>
          <t>NORBERG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46280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46280</v>
      </c>
      <c r="F183" t="inlineStr">
        <is>
          <t>VÄSTMANLANDS LÄN</t>
        </is>
      </c>
      <c r="G183" t="inlineStr">
        <is>
          <t>NORBERG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46280</v>
      </c>
      <c r="F184" t="inlineStr">
        <is>
          <t>VÄSTMANLANDS LÄN</t>
        </is>
      </c>
      <c r="G184" t="inlineStr">
        <is>
          <t>NORBERG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46280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46280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45440</v>
      </c>
      <c r="E187" s="1" t="n">
        <v>46280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46280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46280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46280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46280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46280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46280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2026-09-15T08:14:01Z</dcterms:created>
  <dcterms:modified xmlns:dcterms="http://purl.org/dc/terms/" xmlns:xsi="http://www.w3.org/2001/XMLSchema-instance" xsi:type="dcterms:W3CDTF">2026-09-15T08:14:01Z</dcterms:modified>
</cp:coreProperties>
</file>