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46254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46254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46254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46254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46254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46254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46254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46254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56936-2021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44480</v>
      </c>
      <c r="E10" s="1" t="n">
        <v>46254</v>
      </c>
      <c r="F10" t="inlineStr">
        <is>
          <t>VÄSTMANLANDS LÄN</t>
        </is>
      </c>
      <c r="G10" t="inlineStr">
        <is>
          <t>NORBERG</t>
        </is>
      </c>
      <c r="I10" t="n">
        <v>2.4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Blåsippa</t>
        </is>
      </c>
      <c r="W10">
        <f>HYPERLINK("https://klasma.github.io/Logging_1962/artfynd/A 56936-2021 artfynd.xlsx", "A 56936-2021")</f>
        <v/>
      </c>
      <c r="X10">
        <f>HYPERLINK("https://klasma.github.io/Logging_1962/kartor/A 56936-2021 karta.png", "A 56936-2021")</f>
        <v/>
      </c>
      <c r="Y10">
        <f>HYPERLINK("https://klasma.github.io/Logging_1962/kartor_geotiff/A 56936-2021 georefererad karta.tif", "A 56936-2021")</f>
        <v/>
      </c>
      <c r="AA10">
        <f>HYPERLINK("https://klasma.github.io/Logging_1962/klagomål/A 56936-2021 FSC-klagomål.docx", "A 56936-2021")</f>
        <v/>
      </c>
      <c r="AB10">
        <f>HYPERLINK("https://klasma.github.io/Logging_1962/klagomålsmail/A 56936-2021 FSC-klagomål mail.docx", "A 56936-2021")</f>
        <v/>
      </c>
      <c r="AC10">
        <f>HYPERLINK("https://klasma.github.io/Logging_1962/tillsyn/A 56936-2021 tillsynsbegäran.docx", "A 56936-2021")</f>
        <v/>
      </c>
      <c r="AD10">
        <f>HYPERLINK("https://klasma.github.io/Logging_1962/tillsynsmail/A 56936-2021 tillsynsbegäran mail.docx", "A 56936-2021")</f>
        <v/>
      </c>
    </row>
    <row r="11" ht="15" customHeight="1">
      <c r="A11" t="inlineStr">
        <is>
          <t>A 20257-2025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45773</v>
      </c>
      <c r="E11" s="1" t="n">
        <v>46254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Plattlummer</t>
        </is>
      </c>
      <c r="W11">
        <f>HYPERLINK("https://klasma.github.io/Logging_1962/artfynd/A 20257-2025 artfynd.xlsx", "A 20257-2025")</f>
        <v/>
      </c>
      <c r="X11">
        <f>HYPERLINK("https://klasma.github.io/Logging_1962/kartor/A 20257-2025 karta.png", "A 20257-2025")</f>
        <v/>
      </c>
      <c r="Y11">
        <f>HYPERLINK("https://klasma.github.io/Logging_1962/kartor_geotiff/A 20257-2025 georefererad karta.tif", "A 20257-2025")</f>
        <v/>
      </c>
      <c r="AA11">
        <f>HYPERLINK("https://klasma.github.io/Logging_1962/klagomål/A 20257-2025 FSC-klagomål.docx", "A 20257-2025")</f>
        <v/>
      </c>
      <c r="AB11">
        <f>HYPERLINK("https://klasma.github.io/Logging_1962/klagomålsmail/A 20257-2025 FSC-klagomål mail.docx", "A 20257-2025")</f>
        <v/>
      </c>
      <c r="AC11">
        <f>HYPERLINK("https://klasma.github.io/Logging_1962/tillsyn/A 20257-2025 tillsynsbegäran.docx", "A 20257-2025")</f>
        <v/>
      </c>
      <c r="AD11">
        <f>HYPERLINK("https://klasma.github.io/Logging_1962/tillsynsmail/A 20257-2025 tillsynsbegäran mail.docx", "A 20257-2025")</f>
        <v/>
      </c>
    </row>
    <row r="12" ht="15" customHeight="1">
      <c r="A12" t="inlineStr">
        <is>
          <t>A 15107-2025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46254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0.9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15107-2025 artfynd.xlsx", "A 15107-2025")</f>
        <v/>
      </c>
      <c r="X12">
        <f>HYPERLINK("https://klasma.github.io/Logging_1962/kartor/A 15107-2025 karta.png", "A 15107-2025")</f>
        <v/>
      </c>
      <c r="Y12">
        <f>HYPERLINK("https://klasma.github.io/Logging_1962/kartor_geotiff/A 15107-2025 georefererad karta.tif", "A 15107-2025")</f>
        <v/>
      </c>
      <c r="AA12">
        <f>HYPERLINK("https://klasma.github.io/Logging_1962/klagomål/A 15107-2025 FSC-klagomål.docx", "A 15107-2025")</f>
        <v/>
      </c>
      <c r="AB12">
        <f>HYPERLINK("https://klasma.github.io/Logging_1962/klagomålsmail/A 15107-2025 FSC-klagomål mail.docx", "A 15107-2025")</f>
        <v/>
      </c>
      <c r="AC12">
        <f>HYPERLINK("https://klasma.github.io/Logging_1962/tillsyn/A 15107-2025 tillsynsbegäran.docx", "A 15107-2025")</f>
        <v/>
      </c>
      <c r="AD12">
        <f>HYPERLINK("https://klasma.github.io/Logging_1962/tillsynsmail/A 15107-2025 tillsynsbegäran mail.docx", "A 15107-2025")</f>
        <v/>
      </c>
    </row>
    <row r="13" ht="15" customHeight="1">
      <c r="A13" t="inlineStr">
        <is>
          <t>A 61099-2024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45644</v>
      </c>
      <c r="E13" s="1" t="n">
        <v>46254</v>
      </c>
      <c r="F13" t="inlineStr">
        <is>
          <t>VÄSTMANLANDS LÄN</t>
        </is>
      </c>
      <c r="G13" t="inlineStr">
        <is>
          <t>NORBERG</t>
        </is>
      </c>
      <c r="I13" t="n">
        <v>0.4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61099-2024 artfynd.xlsx", "A 61099-2024")</f>
        <v/>
      </c>
      <c r="X13">
        <f>HYPERLINK("https://klasma.github.io/Logging_1962/kartor/A 61099-2024 karta.png", "A 61099-2024")</f>
        <v/>
      </c>
      <c r="Y13">
        <f>HYPERLINK("https://klasma.github.io/Logging_1962/kartor_geotiff/A 61099-2024 georefererad karta.tif", "A 61099-2024")</f>
        <v/>
      </c>
      <c r="AA13">
        <f>HYPERLINK("https://klasma.github.io/Logging_1962/klagomål/A 61099-2024 FSC-klagomål.docx", "A 61099-2024")</f>
        <v/>
      </c>
      <c r="AB13">
        <f>HYPERLINK("https://klasma.github.io/Logging_1962/klagomålsmail/A 61099-2024 FSC-klagomål mail.docx", "A 61099-2024")</f>
        <v/>
      </c>
      <c r="AC13">
        <f>HYPERLINK("https://klasma.github.io/Logging_1962/tillsyn/A 61099-2024 tillsynsbegäran.docx", "A 61099-2024")</f>
        <v/>
      </c>
      <c r="AD13">
        <f>HYPERLINK("https://klasma.github.io/Logging_1962/tillsynsmail/A 61099-2024 tillsynsbegäran mail.docx", "A 61099-2024")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46254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46254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46254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34230-2026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46254</v>
      </c>
      <c r="F17" t="inlineStr">
        <is>
          <t>VÄSTMANLANDS LÄN</t>
        </is>
      </c>
      <c r="G17" t="inlineStr">
        <is>
          <t>NORBERG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Tvåblad</t>
        </is>
      </c>
      <c r="W17">
        <f>HYPERLINK("https://klasma.github.io/Logging_1962/artfynd/A 34230-2026 artfynd.xlsx", "A 34230-2026")</f>
        <v/>
      </c>
      <c r="X17">
        <f>HYPERLINK("https://klasma.github.io/Logging_1962/kartor/A 34230-2026 karta.png", "A 34230-2026")</f>
        <v/>
      </c>
      <c r="Y17">
        <f>HYPERLINK("https://klasma.github.io/Logging_1962/kartor_geotiff/A 34230-2026 georefererad karta.tif", "A 34230-2026")</f>
        <v/>
      </c>
      <c r="AA17">
        <f>HYPERLINK("https://klasma.github.io/Logging_1962/klagomål/A 34230-2026 FSC-klagomål.docx", "A 34230-2026")</f>
        <v/>
      </c>
      <c r="AB17">
        <f>HYPERLINK("https://klasma.github.io/Logging_1962/klagomålsmail/A 34230-2026 FSC-klagomål mail.docx", "A 34230-2026")</f>
        <v/>
      </c>
      <c r="AC17">
        <f>HYPERLINK("https://klasma.github.io/Logging_1962/tillsyn/A 34230-2026 tillsynsbegäran.docx", "A 34230-2026")</f>
        <v/>
      </c>
      <c r="AD17">
        <f>HYPERLINK("https://klasma.github.io/Logging_1962/tillsynsmail/A 34230-2026 tillsynsbegäran mail.docx", "A 34230-2026")</f>
        <v/>
      </c>
    </row>
    <row r="18" ht="15" customHeight="1">
      <c r="A18" t="inlineStr">
        <is>
          <t>A 34234-2026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46254</v>
      </c>
      <c r="F18" t="inlineStr">
        <is>
          <t>VÄSTMANLANDS LÄN</t>
        </is>
      </c>
      <c r="G18" t="inlineStr">
        <is>
          <t>NORBERG</t>
        </is>
      </c>
      <c r="I18" t="n">
        <v>0.8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Tvåblad</t>
        </is>
      </c>
      <c r="W18">
        <f>HYPERLINK("https://klasma.github.io/Logging_1962/artfynd/A 34234-2026 artfynd.xlsx", "A 34234-2026")</f>
        <v/>
      </c>
      <c r="X18">
        <f>HYPERLINK("https://klasma.github.io/Logging_1962/kartor/A 34234-2026 karta.png", "A 34234-2026")</f>
        <v/>
      </c>
      <c r="Y18">
        <f>HYPERLINK("https://klasma.github.io/Logging_1962/kartor_geotiff/A 34234-2026 georefererad karta.tif", "A 34234-2026")</f>
        <v/>
      </c>
      <c r="AA18">
        <f>HYPERLINK("https://klasma.github.io/Logging_1962/klagomål/A 34234-2026 FSC-klagomål.docx", "A 34234-2026")</f>
        <v/>
      </c>
      <c r="AB18">
        <f>HYPERLINK("https://klasma.github.io/Logging_1962/klagomålsmail/A 34234-2026 FSC-klagomål mail.docx", "A 34234-2026")</f>
        <v/>
      </c>
      <c r="AC18">
        <f>HYPERLINK("https://klasma.github.io/Logging_1962/tillsyn/A 34234-2026 tillsynsbegäran.docx", "A 34234-2026")</f>
        <v/>
      </c>
      <c r="AD18">
        <f>HYPERLINK("https://klasma.github.io/Logging_1962/tillsynsmail/A 34234-2026 tillsynsbegäran mail.docx", "A 34234-2026")</f>
        <v/>
      </c>
    </row>
    <row r="19" ht="15" customHeight="1">
      <c r="A19" t="inlineStr">
        <is>
          <t>A 52063-2022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44873</v>
      </c>
      <c r="E19" s="1" t="n">
        <v>46254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52063-2022 artfynd.xlsx", "A 52063-2022")</f>
        <v/>
      </c>
      <c r="X19">
        <f>HYPERLINK("https://klasma.github.io/Logging_1962/kartor/A 52063-2022 karta.png", "A 52063-2022")</f>
        <v/>
      </c>
      <c r="Y19">
        <f>HYPERLINK("https://klasma.github.io/Logging_1962/kartor_geotiff/A 52063-2022 georefererad karta.tif", "A 52063-2022")</f>
        <v/>
      </c>
      <c r="AA19">
        <f>HYPERLINK("https://klasma.github.io/Logging_1962/klagomål/A 52063-2022 FSC-klagomål.docx", "A 52063-2022")</f>
        <v/>
      </c>
      <c r="AB19">
        <f>HYPERLINK("https://klasma.github.io/Logging_1962/klagomålsmail/A 52063-2022 FSC-klagomål mail.docx", "A 52063-2022")</f>
        <v/>
      </c>
      <c r="AC19">
        <f>HYPERLINK("https://klasma.github.io/Logging_1962/tillsyn/A 52063-2022 tillsynsbegäran.docx", "A 52063-2022")</f>
        <v/>
      </c>
      <c r="AD19">
        <f>HYPERLINK("https://klasma.github.io/Logging_1962/tillsynsmail/A 52063-2022 tillsynsbegäran mail.docx", "A 52063-2022")</f>
        <v/>
      </c>
    </row>
    <row r="20" ht="15" customHeight="1">
      <c r="A20" t="inlineStr">
        <is>
          <t>A 38017-2025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45882</v>
      </c>
      <c r="E20" s="1" t="n">
        <v>46254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15.5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HYPERLINK("https://klasma.github.io/Logging_1962/artfynd/A 38017-2025 artfynd.xlsx", "A 38017-2025")</f>
        <v/>
      </c>
      <c r="X20">
        <f>HYPERLINK("https://klasma.github.io/Logging_1962/kartor/A 38017-2025 karta.png", "A 38017-2025")</f>
        <v/>
      </c>
      <c r="Y20">
        <f>HYPERLINK("https://klasma.github.io/Logging_1962/kartor_geotiff/A 38017-2025 georefererad karta.tif", "A 38017-2025")</f>
        <v/>
      </c>
      <c r="AA20">
        <f>HYPERLINK("https://klasma.github.io/Logging_1962/klagomål/A 38017-2025 FSC-klagomål.docx", "A 38017-2025")</f>
        <v/>
      </c>
      <c r="AB20">
        <f>HYPERLINK("https://klasma.github.io/Logging_1962/klagomålsmail/A 38017-2025 FSC-klagomål mail.docx", "A 38017-2025")</f>
        <v/>
      </c>
      <c r="AC20">
        <f>HYPERLINK("https://klasma.github.io/Logging_1962/tillsyn/A 38017-2025 tillsynsbegäran.docx", "A 38017-2025")</f>
        <v/>
      </c>
      <c r="AD20">
        <f>HYPERLINK("https://klasma.github.io/Logging_1962/tillsynsmail/A 38017-2025 tillsynsbegäran mail.docx", "A 38017-2025")</f>
        <v/>
      </c>
    </row>
    <row r="21" ht="15" customHeight="1">
      <c r="A21" t="inlineStr">
        <is>
          <t>S 4857-2024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45608</v>
      </c>
      <c r="E21" s="1" t="n">
        <v>46254</v>
      </c>
      <c r="F21" t="inlineStr">
        <is>
          <t>VÄSTMANLANDS LÄN</t>
        </is>
      </c>
      <c r="G21" t="inlineStr">
        <is>
          <t>NORBERG</t>
        </is>
      </c>
      <c r="I21" t="n">
        <v>79.3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Nordfladdermus</t>
        </is>
      </c>
      <c r="W21">
        <f>HYPERLINK("https://klasma.github.io/Logging_1962/artfynd/S 4857-2024 artfynd.xlsx", "S 4857-2024")</f>
        <v/>
      </c>
      <c r="X21">
        <f>HYPERLINK("https://klasma.github.io/Logging_1962/kartor/S 4857-2024 karta.png", "S 4857-2024")</f>
        <v/>
      </c>
      <c r="Y21">
        <f>HYPERLINK("https://klasma.github.io/Logging_1962/kartor_geotiff/S 4857-2024 georefererad karta.tif", "S 4857-2024")</f>
        <v/>
      </c>
      <c r="AA21">
        <f>HYPERLINK("https://klasma.github.io/Logging_1962/klagomål/S 4857-2024 FSC-klagomål.docx", "S 4857-2024")</f>
        <v/>
      </c>
      <c r="AB21">
        <f>HYPERLINK("https://klasma.github.io/Logging_1962/klagomålsmail/S 4857-2024 FSC-klagomål mail.docx", "S 4857-2024")</f>
        <v/>
      </c>
      <c r="AC21">
        <f>HYPERLINK("https://klasma.github.io/Logging_1962/tillsyn/S 4857-2024 tillsynsbegäran.docx", "S 4857-2024")</f>
        <v/>
      </c>
      <c r="AD21">
        <f>HYPERLINK("https://klasma.github.io/Logging_1962/tillsynsmail/S 4857-2024 tillsynsbegäran mail.docx", "S 4857-2024")</f>
        <v/>
      </c>
    </row>
    <row r="22" ht="15" customHeight="1">
      <c r="A22" t="inlineStr">
        <is>
          <t>S 920-2025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45737</v>
      </c>
      <c r="E22" s="1" t="n">
        <v>46254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HYPERLINK("https://klasma.github.io/Logging_1962/artfynd/S 920-2025 artfynd.xlsx", "S 920-2025")</f>
        <v/>
      </c>
      <c r="X22">
        <f>HYPERLINK("https://klasma.github.io/Logging_1962/kartor/S 920-2025 karta.png", "S 920-2025")</f>
        <v/>
      </c>
      <c r="Y22">
        <f>HYPERLINK("https://klasma.github.io/Logging_1962/kartor_geotiff/S 920-2025 georefererad karta.tif", "S 920-2025")</f>
        <v/>
      </c>
      <c r="AA22">
        <f>HYPERLINK("https://klasma.github.io/Logging_1962/klagomål/S 920-2025 FSC-klagomål.docx", "S 920-2025")</f>
        <v/>
      </c>
      <c r="AB22">
        <f>HYPERLINK("https://klasma.github.io/Logging_1962/klagomålsmail/S 920-2025 FSC-klagomål mail.docx", "S 920-2025")</f>
        <v/>
      </c>
      <c r="AC22">
        <f>HYPERLINK("https://klasma.github.io/Logging_1962/tillsyn/S 920-2025 tillsynsbegäran.docx", "S 920-2025")</f>
        <v/>
      </c>
      <c r="AD22">
        <f>HYPERLINK("https://klasma.github.io/Logging_1962/tillsynsmail/S 920-2025 tillsynsbegäran mail.docx", "S 920-2025")</f>
        <v/>
      </c>
    </row>
    <row r="23" ht="15" customHeight="1">
      <c r="A23" t="inlineStr">
        <is>
          <t>A 45929-2021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44441</v>
      </c>
      <c r="E23" s="1" t="n">
        <v>46254</v>
      </c>
      <c r="F23" t="inlineStr">
        <is>
          <t>VÄSTMANLANDS LÄN</t>
        </is>
      </c>
      <c r="G23" t="inlineStr">
        <is>
          <t>NORBERG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46254</v>
      </c>
      <c r="F24" t="inlineStr">
        <is>
          <t>VÄSTMANLANDS LÄN</t>
        </is>
      </c>
      <c r="G24" t="inlineStr">
        <is>
          <t>NORBERG</t>
        </is>
      </c>
      <c r="H24" t="inlineStr">
        <is>
          <t>Övriga Aktiebolag</t>
        </is>
      </c>
      <c r="I24" t="n">
        <v>8.300000000000001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46254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49163-2022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46254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46254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52076-2022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44873</v>
      </c>
      <c r="E28" s="1" t="n">
        <v>46254</v>
      </c>
      <c r="F28" t="inlineStr">
        <is>
          <t>VÄSTMANLANDS LÄN</t>
        </is>
      </c>
      <c r="G28" t="inlineStr">
        <is>
          <t>NORBERG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46254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45934-2021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44441</v>
      </c>
      <c r="E30" s="1" t="n">
        <v>46254</v>
      </c>
      <c r="F30" t="inlineStr">
        <is>
          <t>VÄSTMANLANDS LÄN</t>
        </is>
      </c>
      <c r="G30" t="inlineStr">
        <is>
          <t>NORBERG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46254</v>
      </c>
      <c r="F31" t="inlineStr">
        <is>
          <t>VÄSTMANLANDS LÄN</t>
        </is>
      </c>
      <c r="G31" t="inlineStr">
        <is>
          <t>NORBERG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47607-2022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44852</v>
      </c>
      <c r="E32" s="1" t="n">
        <v>46254</v>
      </c>
      <c r="F32" t="inlineStr">
        <is>
          <t>VÄSTMANLANDS LÄN</t>
        </is>
      </c>
      <c r="G32" t="inlineStr">
        <is>
          <t>NORBERG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46254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9875-2022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46254</v>
      </c>
      <c r="F34" t="inlineStr">
        <is>
          <t>VÄSTMANLANDS LÄN</t>
        </is>
      </c>
      <c r="G34" t="inlineStr">
        <is>
          <t>NORBERG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46254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56929-2021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44480</v>
      </c>
      <c r="E36" s="1" t="n">
        <v>46254</v>
      </c>
      <c r="F36" t="inlineStr">
        <is>
          <t>VÄSTMANLANDS LÄN</t>
        </is>
      </c>
      <c r="G36" t="inlineStr">
        <is>
          <t>NORBERG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46254</v>
      </c>
      <c r="F37" t="inlineStr">
        <is>
          <t>VÄSTMANLANDS LÄN</t>
        </is>
      </c>
      <c r="G37" t="inlineStr">
        <is>
          <t>NORBERG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46254</v>
      </c>
      <c r="F38" t="inlineStr">
        <is>
          <t>VÄSTMANLANDS LÄN</t>
        </is>
      </c>
      <c r="G38" t="inlineStr">
        <is>
          <t>NORBERG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46254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46254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44635</v>
      </c>
      <c r="E41" s="1" t="n">
        <v>46254</v>
      </c>
      <c r="F41" t="inlineStr">
        <is>
          <t>VÄSTMANLANDS LÄN</t>
        </is>
      </c>
      <c r="G41" t="inlineStr">
        <is>
          <t>NORBERG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2312-2022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44578</v>
      </c>
      <c r="E42" s="1" t="n">
        <v>46254</v>
      </c>
      <c r="F42" t="inlineStr">
        <is>
          <t>VÄSTMANLANDS LÄN</t>
        </is>
      </c>
      <c r="G42" t="inlineStr">
        <is>
          <t>NORBERG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67361-2021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44523</v>
      </c>
      <c r="E43" s="1" t="n">
        <v>46254</v>
      </c>
      <c r="F43" t="inlineStr">
        <is>
          <t>VÄSTMANLANDS LÄN</t>
        </is>
      </c>
      <c r="G43" t="inlineStr">
        <is>
          <t>NORBERG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46254</v>
      </c>
      <c r="F44" t="inlineStr">
        <is>
          <t>VÄSTMANLANDS LÄN</t>
        </is>
      </c>
      <c r="G44" t="inlineStr">
        <is>
          <t>NORBERG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46254</v>
      </c>
      <c r="F45" t="inlineStr">
        <is>
          <t>VÄSTMANLANDS LÄN</t>
        </is>
      </c>
      <c r="G45" t="inlineStr">
        <is>
          <t>NORBERG</t>
        </is>
      </c>
      <c r="H45" t="inlineStr">
        <is>
          <t>Bergvik skog väst AB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46254</v>
      </c>
      <c r="F46" t="inlineStr">
        <is>
          <t>VÄSTMANLANDS LÄN</t>
        </is>
      </c>
      <c r="G46" t="inlineStr">
        <is>
          <t>NORBERG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51778-2024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46254</v>
      </c>
      <c r="F47" t="inlineStr">
        <is>
          <t>VÄSTMANLANDS LÄN</t>
        </is>
      </c>
      <c r="G47" t="inlineStr">
        <is>
          <t>NORBERG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73797-2021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44552</v>
      </c>
      <c r="E48" s="1" t="n">
        <v>46254</v>
      </c>
      <c r="F48" t="inlineStr">
        <is>
          <t>VÄSTMANLANDS LÄN</t>
        </is>
      </c>
      <c r="G48" t="inlineStr">
        <is>
          <t>NORBERG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37200-2023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45155</v>
      </c>
      <c r="E49" s="1" t="n">
        <v>46254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45420</v>
      </c>
      <c r="E50" s="1" t="n">
        <v>46254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36905-2023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45154</v>
      </c>
      <c r="E51" s="1" t="n">
        <v>46254</v>
      </c>
      <c r="F51" t="inlineStr">
        <is>
          <t>VÄSTMANLANDS LÄN</t>
        </is>
      </c>
      <c r="G51" t="inlineStr">
        <is>
          <t>NORBERG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46254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46254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46254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45200</v>
      </c>
      <c r="E55" s="1" t="n">
        <v>46254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46254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46254</v>
      </c>
      <c r="F57" t="inlineStr">
        <is>
          <t>VÄSTMANLANDS LÄN</t>
        </is>
      </c>
      <c r="G57" t="inlineStr">
        <is>
          <t>NORBERG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45316</v>
      </c>
      <c r="E58" s="1" t="n">
        <v>46254</v>
      </c>
      <c r="F58" t="inlineStr">
        <is>
          <t>VÄSTMANLANDS LÄN</t>
        </is>
      </c>
      <c r="G58" t="inlineStr">
        <is>
          <t>NORBERG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63505-2023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45274</v>
      </c>
      <c r="E59" s="1" t="n">
        <v>46254</v>
      </c>
      <c r="F59" t="inlineStr">
        <is>
          <t>VÄSTMANLANDS LÄN</t>
        </is>
      </c>
      <c r="G59" t="inlineStr">
        <is>
          <t>NORBERG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42198-2023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45179</v>
      </c>
      <c r="E60" s="1" t="n">
        <v>46254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44691</v>
      </c>
      <c r="E61" s="1" t="n">
        <v>46254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47029-2024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45586</v>
      </c>
      <c r="E62" s="1" t="n">
        <v>46254</v>
      </c>
      <c r="F62" t="inlineStr">
        <is>
          <t>VÄSTMANLANDS LÄN</t>
        </is>
      </c>
      <c r="G62" t="inlineStr">
        <is>
          <t>NORBERG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46254</v>
      </c>
      <c r="F63" t="inlineStr">
        <is>
          <t>VÄSTMANLANDS LÄN</t>
        </is>
      </c>
      <c r="G63" t="inlineStr">
        <is>
          <t>NORBERG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45001</v>
      </c>
      <c r="E64" s="1" t="n">
        <v>46254</v>
      </c>
      <c r="F64" t="inlineStr">
        <is>
          <t>VÄSTMANLANDS LÄN</t>
        </is>
      </c>
      <c r="G64" t="inlineStr">
        <is>
          <t>NORBERG</t>
        </is>
      </c>
      <c r="I64" t="n">
        <v>22.4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46254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46254</v>
      </c>
      <c r="F66" t="inlineStr">
        <is>
          <t>VÄSTMANLANDS LÄN</t>
        </is>
      </c>
      <c r="G66" t="inlineStr">
        <is>
          <t>NORBERG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46254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46254</v>
      </c>
      <c r="F68" t="inlineStr">
        <is>
          <t>VÄSTMANLANDS LÄN</t>
        </is>
      </c>
      <c r="G68" t="inlineStr">
        <is>
          <t>NORBERG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45598</v>
      </c>
      <c r="E69" s="1" t="n">
        <v>46254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46019</v>
      </c>
      <c r="E70" s="1" t="n">
        <v>46254</v>
      </c>
      <c r="F70" t="inlineStr">
        <is>
          <t>VÄSTMANLANDS LÄN</t>
        </is>
      </c>
      <c r="G70" t="inlineStr">
        <is>
          <t>NORBERG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20407-2026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46139</v>
      </c>
      <c r="E71" s="1" t="n">
        <v>46254</v>
      </c>
      <c r="F71" t="inlineStr">
        <is>
          <t>VÄSTMANLANDS LÄN</t>
        </is>
      </c>
      <c r="G71" t="inlineStr">
        <is>
          <t>NORBERG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46254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45091</v>
      </c>
      <c r="E73" s="1" t="n">
        <v>46254</v>
      </c>
      <c r="F73" t="inlineStr">
        <is>
          <t>VÄSTMANLANDS LÄN</t>
        </is>
      </c>
      <c r="G73" t="inlineStr">
        <is>
          <t>NORBERG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45679</v>
      </c>
      <c r="E74" s="1" t="n">
        <v>46254</v>
      </c>
      <c r="F74" t="inlineStr">
        <is>
          <t>VÄSTMANLANDS LÄN</t>
        </is>
      </c>
      <c r="G74" t="inlineStr">
        <is>
          <t>NORBERG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57993-2024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45631</v>
      </c>
      <c r="E75" s="1" t="n">
        <v>46254</v>
      </c>
      <c r="F75" t="inlineStr">
        <is>
          <t>VÄSTMANLANDS LÄN</t>
        </is>
      </c>
      <c r="G75" t="inlineStr">
        <is>
          <t>NORBERG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46254</v>
      </c>
      <c r="F76" t="inlineStr">
        <is>
          <t>VÄSTMANLANDS LÄN</t>
        </is>
      </c>
      <c r="G76" t="inlineStr">
        <is>
          <t>NORBERG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20968-2026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46142</v>
      </c>
      <c r="E77" s="1" t="n">
        <v>46254</v>
      </c>
      <c r="F77" t="inlineStr">
        <is>
          <t>VÄSTMANLANDS LÄN</t>
        </is>
      </c>
      <c r="G77" t="inlineStr">
        <is>
          <t>NORBERG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45205</v>
      </c>
      <c r="E78" s="1" t="n">
        <v>46254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46254</v>
      </c>
      <c r="F79" t="inlineStr">
        <is>
          <t>VÄSTMANLANDS LÄN</t>
        </is>
      </c>
      <c r="G79" t="inlineStr">
        <is>
          <t>NORBERG</t>
        </is>
      </c>
      <c r="H79" t="inlineStr">
        <is>
          <t>Bergvik skog väst AB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46148</v>
      </c>
      <c r="E80" s="1" t="n">
        <v>46254</v>
      </c>
      <c r="F80" t="inlineStr">
        <is>
          <t>VÄSTMANLANDS LÄN</t>
        </is>
      </c>
      <c r="G80" t="inlineStr">
        <is>
          <t>NORBERG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46148</v>
      </c>
      <c r="E81" s="1" t="n">
        <v>46254</v>
      </c>
      <c r="F81" t="inlineStr">
        <is>
          <t>VÄSTMANLANDS LÄN</t>
        </is>
      </c>
      <c r="G81" t="inlineStr">
        <is>
          <t>NORBERG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46149</v>
      </c>
      <c r="E82" s="1" t="n">
        <v>46254</v>
      </c>
      <c r="F82" t="inlineStr">
        <is>
          <t>VÄSTMANLANDS LÄN</t>
        </is>
      </c>
      <c r="G82" t="inlineStr">
        <is>
          <t>NORBERG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45191</v>
      </c>
      <c r="E83" s="1" t="n">
        <v>46254</v>
      </c>
      <c r="F83" t="inlineStr">
        <is>
          <t>VÄSTMANLANDS LÄN</t>
        </is>
      </c>
      <c r="G83" t="inlineStr">
        <is>
          <t>NORBERG</t>
        </is>
      </c>
      <c r="H83" t="inlineStr">
        <is>
          <t>Bergvik skog väst AB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46254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46254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46153</v>
      </c>
      <c r="E86" s="1" t="n">
        <v>46254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21984-2026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46254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46254</v>
      </c>
      <c r="F88" t="inlineStr">
        <is>
          <t>VÄSTMANLANDS LÄN</t>
        </is>
      </c>
      <c r="G88" t="inlineStr">
        <is>
          <t>NORBERG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56400-2025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45974</v>
      </c>
      <c r="E89" s="1" t="n">
        <v>46254</v>
      </c>
      <c r="F89" t="inlineStr">
        <is>
          <t>VÄSTMANLANDS LÄN</t>
        </is>
      </c>
      <c r="G89" t="inlineStr">
        <is>
          <t>NORBERG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45537</v>
      </c>
      <c r="E90" s="1" t="n">
        <v>46254</v>
      </c>
      <c r="F90" t="inlineStr">
        <is>
          <t>VÄSTMANLANDS LÄN</t>
        </is>
      </c>
      <c r="G90" t="inlineStr">
        <is>
          <t>NORBERG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46254</v>
      </c>
      <c r="F91" t="inlineStr">
        <is>
          <t>VÄSTMANLANDS LÄN</t>
        </is>
      </c>
      <c r="G91" t="inlineStr">
        <is>
          <t>NORBERG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46254</v>
      </c>
      <c r="F92" t="inlineStr">
        <is>
          <t>VÄSTMANLANDS LÄN</t>
        </is>
      </c>
      <c r="G92" t="inlineStr">
        <is>
          <t>NORBERG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51790-2024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45607</v>
      </c>
      <c r="E93" s="1" t="n">
        <v>46254</v>
      </c>
      <c r="F93" t="inlineStr">
        <is>
          <t>VÄSTMANLANDS LÄN</t>
        </is>
      </c>
      <c r="G93" t="inlineStr">
        <is>
          <t>NORBERG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25331-2026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46176</v>
      </c>
      <c r="E94" s="1" t="n">
        <v>46254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46254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46254</v>
      </c>
      <c r="F96" t="inlineStr">
        <is>
          <t>VÄSTMANLANDS LÄN</t>
        </is>
      </c>
      <c r="G96" t="inlineStr">
        <is>
          <t>NORBERG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44973</v>
      </c>
      <c r="E97" s="1" t="n">
        <v>46254</v>
      </c>
      <c r="F97" t="inlineStr">
        <is>
          <t>VÄSTMANLANDS LÄN</t>
        </is>
      </c>
      <c r="G97" t="inlineStr">
        <is>
          <t>NORBERG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31483-2026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46223</v>
      </c>
      <c r="E98" s="1" t="n">
        <v>46254</v>
      </c>
      <c r="F98" t="inlineStr">
        <is>
          <t>VÄSTMANLANDS LÄN</t>
        </is>
      </c>
      <c r="G98" t="inlineStr">
        <is>
          <t>NORBERG</t>
        </is>
      </c>
      <c r="I98" t="n">
        <v>9.800000000000001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45320</v>
      </c>
      <c r="E99" s="1" t="n">
        <v>46254</v>
      </c>
      <c r="F99" t="inlineStr">
        <is>
          <t>VÄSTMANLANDS LÄN</t>
        </is>
      </c>
      <c r="G99" t="inlineStr">
        <is>
          <t>NORBERG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46254</v>
      </c>
      <c r="F100" t="inlineStr">
        <is>
          <t>VÄSTMANLANDS LÄN</t>
        </is>
      </c>
      <c r="G100" t="inlineStr">
        <is>
          <t>NORBERG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45454</v>
      </c>
      <c r="E101" s="1" t="n">
        <v>46254</v>
      </c>
      <c r="F101" t="inlineStr">
        <is>
          <t>VÄSTMANLANDS LÄN</t>
        </is>
      </c>
      <c r="G101" t="inlineStr">
        <is>
          <t>NORBERG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23705-2024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45454</v>
      </c>
      <c r="E102" s="1" t="n">
        <v>46254</v>
      </c>
      <c r="F102" t="inlineStr">
        <is>
          <t>VÄSTMANLANDS LÄN</t>
        </is>
      </c>
      <c r="G102" t="inlineStr">
        <is>
          <t>NORBERG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46254</v>
      </c>
      <c r="F103" t="inlineStr">
        <is>
          <t>VÄSTMANLANDS LÄN</t>
        </is>
      </c>
      <c r="G103" t="inlineStr">
        <is>
          <t>NORBERG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31967-2026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46232</v>
      </c>
      <c r="E104" s="1" t="n">
        <v>46254</v>
      </c>
      <c r="F104" t="inlineStr">
        <is>
          <t>VÄSTMANLANDS LÄN</t>
        </is>
      </c>
      <c r="G104" t="inlineStr">
        <is>
          <t>NORBERG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46254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13.7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31972-2026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46232</v>
      </c>
      <c r="E106" s="1" t="n">
        <v>46254</v>
      </c>
      <c r="F106" t="inlineStr">
        <is>
          <t>VÄSTMANLANDS LÄN</t>
        </is>
      </c>
      <c r="G106" t="inlineStr">
        <is>
          <t>NORBERG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46233</v>
      </c>
      <c r="E107" s="1" t="n">
        <v>46254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46254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46254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19377-2025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46254</v>
      </c>
      <c r="F110" t="inlineStr">
        <is>
          <t>VÄSTMANLANDS LÄN</t>
        </is>
      </c>
      <c r="G110" t="inlineStr">
        <is>
          <t>NORBERG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16629-2024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45408</v>
      </c>
      <c r="E111" s="1" t="n">
        <v>46254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32385-2026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46238</v>
      </c>
      <c r="E112" s="1" t="n">
        <v>46254</v>
      </c>
      <c r="F112" t="inlineStr">
        <is>
          <t>VÄSTMANLANDS LÄN</t>
        </is>
      </c>
      <c r="G112" t="inlineStr">
        <is>
          <t>NORBERG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45056</v>
      </c>
      <c r="E113" s="1" t="n">
        <v>46254</v>
      </c>
      <c r="F113" t="inlineStr">
        <is>
          <t>VÄSTMANLANDS LÄN</t>
        </is>
      </c>
      <c r="G113" t="inlineStr">
        <is>
          <t>NORBERG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46254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46254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46254</v>
      </c>
      <c r="F116" t="inlineStr">
        <is>
          <t>VÄSTMANLANDS LÄN</t>
        </is>
      </c>
      <c r="G116" t="inlineStr">
        <is>
          <t>NORBERG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20378-2023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45056</v>
      </c>
      <c r="E117" s="1" t="n">
        <v>46254</v>
      </c>
      <c r="F117" t="inlineStr">
        <is>
          <t>VÄSTMANLANDS LÄN</t>
        </is>
      </c>
      <c r="G117" t="inlineStr">
        <is>
          <t>NORBERG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46254</v>
      </c>
      <c r="F118" t="inlineStr">
        <is>
          <t>VÄSTMANLANDS LÄN</t>
        </is>
      </c>
      <c r="G118" t="inlineStr">
        <is>
          <t>NORBERG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46254</v>
      </c>
      <c r="F119" t="inlineStr">
        <is>
          <t>VÄSTMANLANDS LÄN</t>
        </is>
      </c>
      <c r="G119" t="inlineStr">
        <is>
          <t>NORBERG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46254</v>
      </c>
      <c r="F120" t="inlineStr">
        <is>
          <t>VÄSTMANLANDS LÄN</t>
        </is>
      </c>
      <c r="G120" t="inlineStr">
        <is>
          <t>NORBERG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46254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46254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46254</v>
      </c>
      <c r="F123" t="inlineStr">
        <is>
          <t>VÄSTMANLANDS LÄN</t>
        </is>
      </c>
      <c r="G123" t="inlineStr">
        <is>
          <t>NORBERG</t>
        </is>
      </c>
      <c r="H123" t="inlineStr">
        <is>
          <t>Övriga Aktiebolag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46254</v>
      </c>
      <c r="F124" t="inlineStr">
        <is>
          <t>VÄSTMANLANDS LÄN</t>
        </is>
      </c>
      <c r="G124" t="inlineStr">
        <is>
          <t>NORBERG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46247</v>
      </c>
      <c r="E125" s="1" t="n">
        <v>46254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46254</v>
      </c>
      <c r="F126" t="inlineStr">
        <is>
          <t>VÄSTMANLANDS LÄN</t>
        </is>
      </c>
      <c r="G126" t="inlineStr">
        <is>
          <t>NORBERG</t>
        </is>
      </c>
      <c r="H126" t="inlineStr">
        <is>
          <t>Övriga Aktiebolag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46254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8.1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46253</v>
      </c>
      <c r="E128" s="1" t="n">
        <v>46254</v>
      </c>
      <c r="F128" t="inlineStr">
        <is>
          <t>VÄSTMANLANDS LÄN</t>
        </is>
      </c>
      <c r="G128" t="inlineStr">
        <is>
          <t>NORBERG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46254</v>
      </c>
      <c r="F129" t="inlineStr">
        <is>
          <t>VÄSTMANLANDS LÄN</t>
        </is>
      </c>
      <c r="G129" t="inlineStr">
        <is>
          <t>NORBERG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46254</v>
      </c>
      <c r="F130" t="inlineStr">
        <is>
          <t>VÄSTMANLANDS LÄN</t>
        </is>
      </c>
      <c r="G130" t="inlineStr">
        <is>
          <t>NORBERG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46254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46254</v>
      </c>
      <c r="F132" t="inlineStr">
        <is>
          <t>VÄSTMANLANDS LÄN</t>
        </is>
      </c>
      <c r="G132" t="inlineStr">
        <is>
          <t>NORBERG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45613</v>
      </c>
      <c r="E133" s="1" t="n">
        <v>46254</v>
      </c>
      <c r="F133" t="inlineStr">
        <is>
          <t>VÄSTMANLANDS LÄN</t>
        </is>
      </c>
      <c r="G133" t="inlineStr">
        <is>
          <t>NORBERG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46254</v>
      </c>
      <c r="F134" t="inlineStr">
        <is>
          <t>VÄSTMANLANDS LÄN</t>
        </is>
      </c>
      <c r="G134" t="inlineStr">
        <is>
          <t>NORBERG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62881-2025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46008</v>
      </c>
      <c r="E135" s="1" t="n">
        <v>46254</v>
      </c>
      <c r="F135" t="inlineStr">
        <is>
          <t>VÄSTMANLANDS LÄN</t>
        </is>
      </c>
      <c r="G135" t="inlineStr">
        <is>
          <t>NORBERG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62882-2025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46254</v>
      </c>
      <c r="F136" t="inlineStr">
        <is>
          <t>VÄSTMANLANDS LÄN</t>
        </is>
      </c>
      <c r="G136" t="inlineStr">
        <is>
          <t>NORBERG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46254</v>
      </c>
      <c r="F137" t="inlineStr">
        <is>
          <t>VÄSTMANLANDS LÄN</t>
        </is>
      </c>
      <c r="G137" t="inlineStr">
        <is>
          <t>NORBERG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46014</v>
      </c>
      <c r="E138" s="1" t="n">
        <v>46254</v>
      </c>
      <c r="F138" t="inlineStr">
        <is>
          <t>VÄSTMANLANDS LÄN</t>
        </is>
      </c>
      <c r="G138" t="inlineStr">
        <is>
          <t>NORBERG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46014</v>
      </c>
      <c r="E139" s="1" t="n">
        <v>46254</v>
      </c>
      <c r="F139" t="inlineStr">
        <is>
          <t>VÄSTMANLANDS LÄN</t>
        </is>
      </c>
      <c r="G139" t="inlineStr">
        <is>
          <t>NORBERG</t>
        </is>
      </c>
      <c r="I139" t="n">
        <v>22.8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46020</v>
      </c>
      <c r="E140" s="1" t="n">
        <v>46254</v>
      </c>
      <c r="F140" t="inlineStr">
        <is>
          <t>VÄSTMANLANDS LÄN</t>
        </is>
      </c>
      <c r="G140" t="inlineStr">
        <is>
          <t>NORBERG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45408</v>
      </c>
      <c r="E141" s="1" t="n">
        <v>46254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46254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41448-2024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45560</v>
      </c>
      <c r="E143" s="1" t="n">
        <v>46254</v>
      </c>
      <c r="F143" t="inlineStr">
        <is>
          <t>VÄSTMANLANDS LÄN</t>
        </is>
      </c>
      <c r="G143" t="inlineStr">
        <is>
          <t>NORBERG</t>
        </is>
      </c>
      <c r="H143" t="inlineStr">
        <is>
          <t>Bergvik skog väst AB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45200</v>
      </c>
      <c r="E144" s="1" t="n">
        <v>46254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46254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45089</v>
      </c>
      <c r="E146" s="1" t="n">
        <v>46254</v>
      </c>
      <c r="F146" t="inlineStr">
        <is>
          <t>VÄSTMANLANDS LÄN</t>
        </is>
      </c>
      <c r="G146" t="inlineStr">
        <is>
          <t>NORBERG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46254</v>
      </c>
      <c r="F147" t="inlineStr">
        <is>
          <t>VÄSTMANLANDS LÄN</t>
        </is>
      </c>
      <c r="G147" t="inlineStr">
        <is>
          <t>NORBERG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46254</v>
      </c>
      <c r="F148" t="inlineStr">
        <is>
          <t>VÄSTMANLANDS LÄN</t>
        </is>
      </c>
      <c r="G148" t="inlineStr">
        <is>
          <t>NORBERG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46254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46254</v>
      </c>
      <c r="F150" t="inlineStr">
        <is>
          <t>VÄSTMANLANDS LÄN</t>
        </is>
      </c>
      <c r="G150" t="inlineStr">
        <is>
          <t>NORBERG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46254</v>
      </c>
      <c r="F151" t="inlineStr">
        <is>
          <t>VÄSTMANLANDS LÄN</t>
        </is>
      </c>
      <c r="G151" t="inlineStr">
        <is>
          <t>NORBERG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46254</v>
      </c>
      <c r="F152" t="inlineStr">
        <is>
          <t>VÄSTMANLANDS LÄN</t>
        </is>
      </c>
      <c r="G152" t="inlineStr">
        <is>
          <t>NORBERG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67356-2021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44523</v>
      </c>
      <c r="E153" s="1" t="n">
        <v>46254</v>
      </c>
      <c r="F153" t="inlineStr">
        <is>
          <t>VÄSTMANLANDS LÄN</t>
        </is>
      </c>
      <c r="G153" t="inlineStr">
        <is>
          <t>NORBERG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46254</v>
      </c>
      <c r="F154" t="inlineStr">
        <is>
          <t>VÄSTMANLANDS LÄN</t>
        </is>
      </c>
      <c r="G154" t="inlineStr">
        <is>
          <t>NORBERG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60339-2025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45994</v>
      </c>
      <c r="E155" s="1" t="n">
        <v>46254</v>
      </c>
      <c r="F155" t="inlineStr">
        <is>
          <t>VÄSTMANLANDS LÄN</t>
        </is>
      </c>
      <c r="G155" t="inlineStr">
        <is>
          <t>NORBERG</t>
        </is>
      </c>
      <c r="H155" t="inlineStr">
        <is>
          <t>Kommuner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46254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46254</v>
      </c>
      <c r="F157" t="inlineStr">
        <is>
          <t>VÄSTMANLANDS LÄN</t>
        </is>
      </c>
      <c r="G157" t="inlineStr">
        <is>
          <t>NORBERG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46254</v>
      </c>
      <c r="F158" t="inlineStr">
        <is>
          <t>VÄSTMANLANDS LÄN</t>
        </is>
      </c>
      <c r="G158" t="inlineStr">
        <is>
          <t>NORBERG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13471-2026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46093</v>
      </c>
      <c r="E159" s="1" t="n">
        <v>46254</v>
      </c>
      <c r="F159" t="inlineStr">
        <is>
          <t>VÄSTMANLANDS LÄN</t>
        </is>
      </c>
      <c r="G159" t="inlineStr">
        <is>
          <t>NORBERG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46254</v>
      </c>
      <c r="F160" t="inlineStr">
        <is>
          <t>VÄSTMANLANDS LÄN</t>
        </is>
      </c>
      <c r="G160" t="inlineStr">
        <is>
          <t>NORBERG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45089</v>
      </c>
      <c r="E161" s="1" t="n">
        <v>46254</v>
      </c>
      <c r="F161" t="inlineStr">
        <is>
          <t>VÄSTMANLANDS LÄN</t>
        </is>
      </c>
      <c r="G161" t="inlineStr">
        <is>
          <t>NORBERG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46254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46254</v>
      </c>
      <c r="F163" t="inlineStr">
        <is>
          <t>VÄSTMANLANDS LÄN</t>
        </is>
      </c>
      <c r="G163" t="inlineStr">
        <is>
          <t>NORBERG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46254</v>
      </c>
      <c r="F164" t="inlineStr">
        <is>
          <t>VÄSTMANLANDS LÄN</t>
        </is>
      </c>
      <c r="G164" t="inlineStr">
        <is>
          <t>NORBERG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46254</v>
      </c>
      <c r="F165" t="inlineStr">
        <is>
          <t>VÄSTMANLANDS LÄN</t>
        </is>
      </c>
      <c r="G165" t="inlineStr">
        <is>
          <t>NORBERG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46254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44727</v>
      </c>
      <c r="E167" s="1" t="n">
        <v>46254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15981-2026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46254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45607</v>
      </c>
      <c r="E169" s="1" t="n">
        <v>46254</v>
      </c>
      <c r="F169" t="inlineStr">
        <is>
          <t>VÄSTMANLANDS LÄN</t>
        </is>
      </c>
      <c r="G169" t="inlineStr">
        <is>
          <t>NORBERG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46254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46114</v>
      </c>
      <c r="E171" s="1" t="n">
        <v>46254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46113</v>
      </c>
      <c r="E172" s="1" t="n">
        <v>46254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11099-2023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46254</v>
      </c>
      <c r="F173" t="inlineStr">
        <is>
          <t>VÄSTMANLANDS LÄN</t>
        </is>
      </c>
      <c r="G173" t="inlineStr">
        <is>
          <t>NORBERG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46254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46254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46254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21232-2024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45440</v>
      </c>
      <c r="E177" s="1" t="n">
        <v>46254</v>
      </c>
      <c r="F177" t="inlineStr">
        <is>
          <t>VÄSTMANLANDS LÄN</t>
        </is>
      </c>
      <c r="G177" t="inlineStr">
        <is>
          <t>NORBERG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45191</v>
      </c>
      <c r="E178" s="1" t="n">
        <v>46254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46254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46254</v>
      </c>
      <c r="F180" t="inlineStr">
        <is>
          <t>VÄSTMANLANDS LÄN</t>
        </is>
      </c>
      <c r="G180" t="inlineStr">
        <is>
          <t>NORBERG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56940-2021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44480</v>
      </c>
      <c r="E181" s="1" t="n">
        <v>46254</v>
      </c>
      <c r="F181" t="inlineStr">
        <is>
          <t>VÄSTMANLANDS LÄN</t>
        </is>
      </c>
      <c r="G181" t="inlineStr">
        <is>
          <t>NORBERG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40232-2024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46254</v>
      </c>
      <c r="F182" t="inlineStr">
        <is>
          <t>VÄSTMANLANDS LÄN</t>
        </is>
      </c>
      <c r="G182" t="inlineStr">
        <is>
          <t>NORBERG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46254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46254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46254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45576</v>
      </c>
      <c r="E186" s="1" t="n">
        <v>46254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46254</v>
      </c>
      <c r="F187" t="inlineStr">
        <is>
          <t>VÄSTMANLANDS LÄN</t>
        </is>
      </c>
      <c r="G187" t="inlineStr">
        <is>
          <t>NORBERG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46254</v>
      </c>
      <c r="F188" t="inlineStr">
        <is>
          <t>VÄSTMANLANDS LÄN</t>
        </is>
      </c>
      <c r="G188" t="inlineStr">
        <is>
          <t>NORBERG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46254</v>
      </c>
      <c r="F189" t="inlineStr">
        <is>
          <t>VÄSTMANLANDS LÄN</t>
        </is>
      </c>
      <c r="G189" t="inlineStr">
        <is>
          <t>NORBERG</t>
        </is>
      </c>
      <c r="H189" t="inlineStr">
        <is>
          <t>Övriga Aktiebolag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46254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15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46254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46254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46254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46254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2026-08-20T01:48:42Z</dcterms:created>
  <dcterms:modified xmlns:dcterms="http://purl.org/dc/terms/" xmlns:xsi="http://www.w3.org/2001/XMLSchema-instance" xsi:type="dcterms:W3CDTF">2026-08-20T01:48:42Z</dcterms:modified>
</cp:coreProperties>
</file>