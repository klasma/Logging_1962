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46290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46290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46290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46290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46290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46290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46290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46290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46290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46290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46290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46290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46290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46290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46290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38017-2025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45882</v>
      </c>
      <c r="E17" s="1" t="n">
        <v>46290</v>
      </c>
      <c r="F17" t="inlineStr">
        <is>
          <t>VÄSTMANLANDS LÄN</t>
        </is>
      </c>
      <c r="G17" t="inlineStr">
        <is>
          <t>NORBERG</t>
        </is>
      </c>
      <c r="H17" t="inlineStr">
        <is>
          <t>Övriga Aktiebolag</t>
        </is>
      </c>
      <c r="I17" t="n">
        <v>15.5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HYPERLINK("https://klasma.github.io/Logging_1962/artfynd/A 38017-2025 artfynd.xlsx", "A 38017-2025")</f>
        <v/>
      </c>
      <c r="X17">
        <f>HYPERLINK("https://klasma.github.io/Logging_1962/kartor/A 38017-2025 karta.png", "A 38017-2025")</f>
        <v/>
      </c>
      <c r="Y17">
        <f>HYPERLINK("https://klasma.github.io/Logging_1962/kartor_geotiff/A 38017-2025 georefererad karta.tif", "A 38017-2025")</f>
        <v/>
      </c>
      <c r="AA17">
        <f>HYPERLINK("https://klasma.github.io/Logging_1962/klagomål/A 38017-2025 FSC-klagomål.docx", "A 38017-2025")</f>
        <v/>
      </c>
      <c r="AB17">
        <f>HYPERLINK("https://klasma.github.io/Logging_1962/klagomålsmail/A 38017-2025 FSC-klagomål mail.docx", "A 38017-2025")</f>
        <v/>
      </c>
      <c r="AC17">
        <f>HYPERLINK("https://klasma.github.io/Logging_1962/tillsyn/A 38017-2025 tillsynsbegäran.docx", "A 38017-2025")</f>
        <v/>
      </c>
      <c r="AD17">
        <f>HYPERLINK("https://klasma.github.io/Logging_1962/tillsynsmail/A 38017-2025 tillsynsbegäran mail.docx", "A 38017-2025")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46290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46290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34967-2023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45142</v>
      </c>
      <c r="E20" s="1" t="n">
        <v>46290</v>
      </c>
      <c r="F20" t="inlineStr">
        <is>
          <t>VÄSTMANLANDS LÄN</t>
        </is>
      </c>
      <c r="G20" t="inlineStr">
        <is>
          <t>NORBERG</t>
        </is>
      </c>
      <c r="H20" t="inlineStr">
        <is>
          <t>Kyrkan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Skogsklocka</t>
        </is>
      </c>
      <c r="W20">
        <f>HYPERLINK("https://klasma.github.io/Logging_1962/artfynd/A 34967-2023 artfynd.xlsx", "A 34967-2023")</f>
        <v/>
      </c>
      <c r="X20">
        <f>HYPERLINK("https://klasma.github.io/Logging_1962/kartor/A 34967-2023 karta.png", "A 34967-2023")</f>
        <v/>
      </c>
      <c r="Y20">
        <f>HYPERLINK("https://klasma.github.io/Logging_1962/kartor_geotiff/A 34967-2023 georefererad karta.tif", "A 34967-2023")</f>
        <v/>
      </c>
      <c r="AA20">
        <f>HYPERLINK("https://klasma.github.io/Logging_1962/klagomål/A 34967-2023 FSC-klagomål.docx", "A 34967-2023")</f>
        <v/>
      </c>
      <c r="AB20">
        <f>HYPERLINK("https://klasma.github.io/Logging_1962/klagomålsmail/A 34967-2023 FSC-klagomål mail.docx", "A 34967-2023")</f>
        <v/>
      </c>
      <c r="AC20">
        <f>HYPERLINK("https://klasma.github.io/Logging_1962/tillsyn/A 34967-2023 tillsynsbegäran.docx", "A 34967-2023")</f>
        <v/>
      </c>
      <c r="AD20">
        <f>HYPERLINK("https://klasma.github.io/Logging_1962/tillsynsmail/A 34967-2023 tillsynsbegäran mail.docx", "A 34967-2023")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46290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46290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52063-2022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44873</v>
      </c>
      <c r="E23" s="1" t="n">
        <v>46290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52063-2022 artfynd.xlsx", "A 52063-2022")</f>
        <v/>
      </c>
      <c r="X23">
        <f>HYPERLINK("https://klasma.github.io/Logging_1962/kartor/A 52063-2022 karta.png", "A 52063-2022")</f>
        <v/>
      </c>
      <c r="Y23">
        <f>HYPERLINK("https://klasma.github.io/Logging_1962/kartor_geotiff/A 52063-2022 georefererad karta.tif", "A 52063-2022")</f>
        <v/>
      </c>
      <c r="AA23">
        <f>HYPERLINK("https://klasma.github.io/Logging_1962/klagomål/A 52063-2022 FSC-klagomål.docx", "A 52063-2022")</f>
        <v/>
      </c>
      <c r="AB23">
        <f>HYPERLINK("https://klasma.github.io/Logging_1962/klagomålsmail/A 52063-2022 FSC-klagomål mail.docx", "A 52063-2022")</f>
        <v/>
      </c>
      <c r="AC23">
        <f>HYPERLINK("https://klasma.github.io/Logging_1962/tillsyn/A 52063-2022 tillsynsbegäran.docx", "A 52063-2022")</f>
        <v/>
      </c>
      <c r="AD23">
        <f>HYPERLINK("https://klasma.github.io/Logging_1962/tillsynsmail/A 52063-2022 tillsynsbegäran mail.docx", "A 52063-2022")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46290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46290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46290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A 38927-2026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46290</v>
      </c>
      <c r="F27" t="inlineStr">
        <is>
          <t>VÄSTMANLANDS LÄN</t>
        </is>
      </c>
      <c r="G27" t="inlineStr">
        <is>
          <t>NORBERG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HYPERLINK("https://klasma.github.io/Logging_1962/artfynd/A 38927-2026 artfynd.xlsx", "A 38927-2026")</f>
        <v/>
      </c>
      <c r="X27">
        <f>HYPERLINK("https://klasma.github.io/Logging_1962/kartor/A 38927-2026 karta.png", "A 38927-2026")</f>
        <v/>
      </c>
      <c r="Y27">
        <f>HYPERLINK("https://klasma.github.io/Logging_1962/kartor_geotiff/A 38927-2026 georefererad karta.tif", "A 38927-2026")</f>
        <v/>
      </c>
      <c r="AA27">
        <f>HYPERLINK("https://klasma.github.io/Logging_1962/klagomål/A 38927-2026 FSC-klagomål.docx", "A 38927-2026")</f>
        <v/>
      </c>
      <c r="AB27">
        <f>HYPERLINK("https://klasma.github.io/Logging_1962/klagomålsmail/A 38927-2026 FSC-klagomål mail.docx", "A 38927-2026")</f>
        <v/>
      </c>
      <c r="AC27">
        <f>HYPERLINK("https://klasma.github.io/Logging_1962/tillsyn/A 38927-2026 tillsynsbegäran.docx", "A 38927-2026")</f>
        <v/>
      </c>
      <c r="AD27">
        <f>HYPERLINK("https://klasma.github.io/Logging_1962/tillsynsmail/A 38927-2026 tillsynsbegäran mail.docx", "A 38927-2026")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46290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46290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46290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46290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46290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46290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46290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46290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46290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46290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46290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46290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46290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46290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46290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46290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46290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46290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46290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46290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46290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51778-2024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46290</v>
      </c>
      <c r="F49" t="inlineStr">
        <is>
          <t>VÄSTMANLANDS LÄN</t>
        </is>
      </c>
      <c r="G49" t="inlineStr">
        <is>
          <t>NORBERG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73797-2021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44552</v>
      </c>
      <c r="E50" s="1" t="n">
        <v>46290</v>
      </c>
      <c r="F50" t="inlineStr">
        <is>
          <t>VÄSTMANLANDS LÄN</t>
        </is>
      </c>
      <c r="G50" t="inlineStr">
        <is>
          <t>NORBERG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46290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46290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46290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45226</v>
      </c>
      <c r="E54" s="1" t="n">
        <v>46290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46290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46290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46290</v>
      </c>
      <c r="F57" t="inlineStr">
        <is>
          <t>VÄSTMANLANDS LÄN</t>
        </is>
      </c>
      <c r="G57" t="inlineStr">
        <is>
          <t>NORBERG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45730</v>
      </c>
      <c r="E58" s="1" t="n">
        <v>46290</v>
      </c>
      <c r="F58" t="inlineStr">
        <is>
          <t>VÄSTMANLANDS LÄN</t>
        </is>
      </c>
      <c r="G58" t="inlineStr">
        <is>
          <t>NORBERG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46290</v>
      </c>
      <c r="F59" t="inlineStr">
        <is>
          <t>VÄSTMANLANDS LÄN</t>
        </is>
      </c>
      <c r="G59" t="inlineStr">
        <is>
          <t>NORBERG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63505-2023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45274</v>
      </c>
      <c r="E60" s="1" t="n">
        <v>46290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45179</v>
      </c>
      <c r="E61" s="1" t="n">
        <v>46290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44691</v>
      </c>
      <c r="E62" s="1" t="n">
        <v>46290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45001</v>
      </c>
      <c r="E63" s="1" t="n">
        <v>46290</v>
      </c>
      <c r="F63" t="inlineStr">
        <is>
          <t>VÄSTMANLANDS LÄN</t>
        </is>
      </c>
      <c r="G63" t="inlineStr">
        <is>
          <t>NORBERG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46290</v>
      </c>
      <c r="F64" t="inlineStr">
        <is>
          <t>VÄSTMANLANDS LÄN</t>
        </is>
      </c>
      <c r="G64" t="inlineStr">
        <is>
          <t>NORBERG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46290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45729</v>
      </c>
      <c r="E66" s="1" t="n">
        <v>46290</v>
      </c>
      <c r="F66" t="inlineStr">
        <is>
          <t>VÄSTMANLANDS LÄN</t>
        </is>
      </c>
      <c r="G66" t="inlineStr">
        <is>
          <t>NORBERG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45882</v>
      </c>
      <c r="E67" s="1" t="n">
        <v>46290</v>
      </c>
      <c r="F67" t="inlineStr">
        <is>
          <t>VÄSTMANLANDS LÄN</t>
        </is>
      </c>
      <c r="G67" t="inlineStr">
        <is>
          <t>NORBERG</t>
        </is>
      </c>
      <c r="H67" t="inlineStr">
        <is>
          <t>Övriga Aktiebolag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56940-2021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44480</v>
      </c>
      <c r="E68" s="1" t="n">
        <v>46290</v>
      </c>
      <c r="F68" t="inlineStr">
        <is>
          <t>VÄSTMANLANDS LÄN</t>
        </is>
      </c>
      <c r="G68" t="inlineStr">
        <is>
          <t>NORBERG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46290</v>
      </c>
      <c r="F69" t="inlineStr">
        <is>
          <t>VÄSTMANLANDS LÄN</t>
        </is>
      </c>
      <c r="G69" t="inlineStr">
        <is>
          <t>NORBERG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46290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46290</v>
      </c>
      <c r="F71" t="inlineStr">
        <is>
          <t>VÄSTMANLANDS LÄN</t>
        </is>
      </c>
      <c r="G71" t="inlineStr">
        <is>
          <t>NORBERG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45169</v>
      </c>
      <c r="E72" s="1" t="n">
        <v>46290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46290</v>
      </c>
      <c r="F73" t="inlineStr">
        <is>
          <t>VÄSTMANLANDS LÄN</t>
        </is>
      </c>
      <c r="G73" t="inlineStr">
        <is>
          <t>NORBERG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46290</v>
      </c>
      <c r="F74" t="inlineStr">
        <is>
          <t>VÄSTMANLANDS LÄN</t>
        </is>
      </c>
      <c r="G74" t="inlineStr">
        <is>
          <t>NORBERG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54306-2023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45232</v>
      </c>
      <c r="E75" s="1" t="n">
        <v>46290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46290</v>
      </c>
      <c r="F76" t="inlineStr">
        <is>
          <t>VÄSTMANLANDS LÄN</t>
        </is>
      </c>
      <c r="G76" t="inlineStr">
        <is>
          <t>NORBERG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45598</v>
      </c>
      <c r="E77" s="1" t="n">
        <v>46290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46290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46290</v>
      </c>
      <c r="F79" t="inlineStr">
        <is>
          <t>VÄSTMANLANDS LÄN</t>
        </is>
      </c>
      <c r="G79" t="inlineStr">
        <is>
          <t>NORBERG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46290</v>
      </c>
      <c r="F80" t="inlineStr">
        <is>
          <t>VÄSTMANLANDS LÄN</t>
        </is>
      </c>
      <c r="G80" t="inlineStr">
        <is>
          <t>NORBERG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46290</v>
      </c>
      <c r="F81" t="inlineStr">
        <is>
          <t>VÄSTMANLANDS LÄN</t>
        </is>
      </c>
      <c r="G81" t="inlineStr">
        <is>
          <t>NORBERG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45205</v>
      </c>
      <c r="E82" s="1" t="n">
        <v>46290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45191</v>
      </c>
      <c r="E83" s="1" t="n">
        <v>46290</v>
      </c>
      <c r="F83" t="inlineStr">
        <is>
          <t>VÄSTMANLANDS LÄN</t>
        </is>
      </c>
      <c r="G83" t="inlineStr">
        <is>
          <t>NORBERG</t>
        </is>
      </c>
      <c r="H83" t="inlineStr">
        <is>
          <t>Bergvik skog väst AB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45966</v>
      </c>
      <c r="E84" s="1" t="n">
        <v>46290</v>
      </c>
      <c r="F84" t="inlineStr">
        <is>
          <t>VÄSTMANLANDS LÄN</t>
        </is>
      </c>
      <c r="G84" t="inlineStr">
        <is>
          <t>NORBERG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46290</v>
      </c>
      <c r="F85" t="inlineStr">
        <is>
          <t>VÄSTMANLANDS LÄN</t>
        </is>
      </c>
      <c r="G85" t="inlineStr">
        <is>
          <t>NORBERG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36443-2024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46290</v>
      </c>
      <c r="F86" t="inlineStr">
        <is>
          <t>VÄSTMANLANDS LÄN</t>
        </is>
      </c>
      <c r="G86" t="inlineStr">
        <is>
          <t>NORBERG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46290</v>
      </c>
      <c r="F87" t="inlineStr">
        <is>
          <t>VÄSTMANLANDS LÄN</t>
        </is>
      </c>
      <c r="G87" t="inlineStr">
        <is>
          <t>NORBERG</t>
        </is>
      </c>
      <c r="H87" t="inlineStr">
        <is>
          <t>Övriga Aktiebolag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45103</v>
      </c>
      <c r="E88" s="1" t="n">
        <v>46290</v>
      </c>
      <c r="F88" t="inlineStr">
        <is>
          <t>VÄSTMANLANDS LÄN</t>
        </is>
      </c>
      <c r="G88" t="inlineStr">
        <is>
          <t>NORBERG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20968-2026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46142</v>
      </c>
      <c r="E89" s="1" t="n">
        <v>46290</v>
      </c>
      <c r="F89" t="inlineStr">
        <is>
          <t>VÄSTMANLANDS LÄN</t>
        </is>
      </c>
      <c r="G89" t="inlineStr">
        <is>
          <t>NORBERG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45989</v>
      </c>
      <c r="E90" s="1" t="n">
        <v>46290</v>
      </c>
      <c r="F90" t="inlineStr">
        <is>
          <t>VÄSTMANLANDS LÄN</t>
        </is>
      </c>
      <c r="G90" t="inlineStr">
        <is>
          <t>NORBERG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21218-2026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46290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12.1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46290</v>
      </c>
      <c r="F92" t="inlineStr">
        <is>
          <t>VÄSTMANLANDS LÄN</t>
        </is>
      </c>
      <c r="G92" t="inlineStr">
        <is>
          <t>NORBERG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46148</v>
      </c>
      <c r="E93" s="1" t="n">
        <v>46290</v>
      </c>
      <c r="F93" t="inlineStr">
        <is>
          <t>VÄSTMANLANDS LÄN</t>
        </is>
      </c>
      <c r="G93" t="inlineStr">
        <is>
          <t>NORBERG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51790-2024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45607</v>
      </c>
      <c r="E94" s="1" t="n">
        <v>46290</v>
      </c>
      <c r="F94" t="inlineStr">
        <is>
          <t>VÄSTMANLANDS LÄN</t>
        </is>
      </c>
      <c r="G94" t="inlineStr">
        <is>
          <t>NORBERG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46290</v>
      </c>
      <c r="F95" t="inlineStr">
        <is>
          <t>VÄSTMANLANDS LÄN</t>
        </is>
      </c>
      <c r="G95" t="inlineStr">
        <is>
          <t>NORBERG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46290</v>
      </c>
      <c r="F96" t="inlineStr">
        <is>
          <t>VÄSTMANLANDS LÄN</t>
        </is>
      </c>
      <c r="G96" t="inlineStr">
        <is>
          <t>NORBERG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46290</v>
      </c>
      <c r="F97" t="inlineStr">
        <is>
          <t>VÄSTMANLANDS LÄN</t>
        </is>
      </c>
      <c r="G97" t="inlineStr">
        <is>
          <t>NORBERG</t>
        </is>
      </c>
      <c r="H97" t="inlineStr">
        <is>
          <t>Bergvik skog väst AB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21983-2026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46290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46290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46290</v>
      </c>
      <c r="F100" t="inlineStr">
        <is>
          <t>VÄSTMANLANDS LÄN</t>
        </is>
      </c>
      <c r="G100" t="inlineStr">
        <is>
          <t>NORBERG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46008</v>
      </c>
      <c r="E101" s="1" t="n">
        <v>46290</v>
      </c>
      <c r="F101" t="inlineStr">
        <is>
          <t>VÄSTMANLANDS LÄN</t>
        </is>
      </c>
      <c r="G101" t="inlineStr">
        <is>
          <t>NORBERG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46290</v>
      </c>
      <c r="F102" t="inlineStr">
        <is>
          <t>VÄSTMANLANDS LÄN</t>
        </is>
      </c>
      <c r="G102" t="inlineStr">
        <is>
          <t>NORBERG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46290</v>
      </c>
      <c r="F103" t="inlineStr">
        <is>
          <t>VÄSTMANLANDS LÄN</t>
        </is>
      </c>
      <c r="G103" t="inlineStr">
        <is>
          <t>NORBERG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46290</v>
      </c>
      <c r="F104" t="inlineStr">
        <is>
          <t>VÄSTMANLANDS LÄN</t>
        </is>
      </c>
      <c r="G104" t="inlineStr">
        <is>
          <t>NORBERG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46014</v>
      </c>
      <c r="E105" s="1" t="n">
        <v>46290</v>
      </c>
      <c r="F105" t="inlineStr">
        <is>
          <t>VÄSTMANLANDS LÄN</t>
        </is>
      </c>
      <c r="G105" t="inlineStr">
        <is>
          <t>NORBERG</t>
        </is>
      </c>
      <c r="I105" t="n">
        <v>22.8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46020</v>
      </c>
      <c r="E106" s="1" t="n">
        <v>46290</v>
      </c>
      <c r="F106" t="inlineStr">
        <is>
          <t>VÄSTMANLANDS LÄN</t>
        </is>
      </c>
      <c r="G106" t="inlineStr">
        <is>
          <t>NORBERG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3587-2024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45320</v>
      </c>
      <c r="E107" s="1" t="n">
        <v>46290</v>
      </c>
      <c r="F107" t="inlineStr">
        <is>
          <t>VÄSTMANLANDS LÄN</t>
        </is>
      </c>
      <c r="G107" t="inlineStr">
        <is>
          <t>NORBERG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56400-2025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45974</v>
      </c>
      <c r="E108" s="1" t="n">
        <v>46290</v>
      </c>
      <c r="F108" t="inlineStr">
        <is>
          <t>VÄSTMANLANDS LÄN</t>
        </is>
      </c>
      <c r="G108" t="inlineStr">
        <is>
          <t>NORBERG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45454</v>
      </c>
      <c r="E109" s="1" t="n">
        <v>46290</v>
      </c>
      <c r="F109" t="inlineStr">
        <is>
          <t>VÄSTMANLANDS LÄN</t>
        </is>
      </c>
      <c r="G109" t="inlineStr">
        <is>
          <t>NORBERG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45454</v>
      </c>
      <c r="E110" s="1" t="n">
        <v>46290</v>
      </c>
      <c r="F110" t="inlineStr">
        <is>
          <t>VÄSTMANLANDS LÄN</t>
        </is>
      </c>
      <c r="G110" t="inlineStr">
        <is>
          <t>NORBERG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46290</v>
      </c>
      <c r="F111" t="inlineStr">
        <is>
          <t>VÄSTMANLANDS LÄN</t>
        </is>
      </c>
      <c r="G111" t="inlineStr">
        <is>
          <t>NORBERG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19377-2025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45769</v>
      </c>
      <c r="E112" s="1" t="n">
        <v>46290</v>
      </c>
      <c r="F112" t="inlineStr">
        <is>
          <t>VÄSTMANLANDS LÄN</t>
        </is>
      </c>
      <c r="G112" t="inlineStr">
        <is>
          <t>NORBERG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45408</v>
      </c>
      <c r="E113" s="1" t="n">
        <v>46290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8.800000000000001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46290</v>
      </c>
      <c r="F114" t="inlineStr">
        <is>
          <t>VÄSTMANLANDS LÄN</t>
        </is>
      </c>
      <c r="G114" t="inlineStr">
        <is>
          <t>NORBERG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46290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20378-2023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45056</v>
      </c>
      <c r="E116" s="1" t="n">
        <v>46290</v>
      </c>
      <c r="F116" t="inlineStr">
        <is>
          <t>VÄSTMANLANDS LÄN</t>
        </is>
      </c>
      <c r="G116" t="inlineStr">
        <is>
          <t>NORBERG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46290</v>
      </c>
      <c r="F117" t="inlineStr">
        <is>
          <t>VÄSTMANLANDS LÄN</t>
        </is>
      </c>
      <c r="G117" t="inlineStr">
        <is>
          <t>NORBERG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60339-2025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45994</v>
      </c>
      <c r="E118" s="1" t="n">
        <v>46290</v>
      </c>
      <c r="F118" t="inlineStr">
        <is>
          <t>VÄSTMANLANDS LÄN</t>
        </is>
      </c>
      <c r="G118" t="inlineStr">
        <is>
          <t>NORBERG</t>
        </is>
      </c>
      <c r="H118" t="inlineStr">
        <is>
          <t>Kommuner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46290</v>
      </c>
      <c r="F119" t="inlineStr">
        <is>
          <t>VÄSTMANLANDS LÄN</t>
        </is>
      </c>
      <c r="G119" t="inlineStr">
        <is>
          <t>NORBERG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47753-2024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46290</v>
      </c>
      <c r="F120" t="inlineStr">
        <is>
          <t>VÄSTMANLANDS LÄN</t>
        </is>
      </c>
      <c r="G120" t="inlineStr">
        <is>
          <t>NORBERG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46290</v>
      </c>
      <c r="F121" t="inlineStr">
        <is>
          <t>VÄSTMANLANDS LÄN</t>
        </is>
      </c>
      <c r="G121" t="inlineStr">
        <is>
          <t>NORBERG</t>
        </is>
      </c>
      <c r="H121" t="inlineStr">
        <is>
          <t>Övriga Aktiebolag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25331-2026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46176</v>
      </c>
      <c r="E122" s="1" t="n">
        <v>46290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13471-2026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46290</v>
      </c>
      <c r="F123" t="inlineStr">
        <is>
          <t>VÄSTMANLANDS LÄN</t>
        </is>
      </c>
      <c r="G123" t="inlineStr">
        <is>
          <t>NORBERG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46290</v>
      </c>
      <c r="F124" t="inlineStr">
        <is>
          <t>VÄSTMANLANDS LÄN</t>
        </is>
      </c>
      <c r="G124" t="inlineStr">
        <is>
          <t>NORBERG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45034</v>
      </c>
      <c r="E125" s="1" t="n">
        <v>46290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14234-2026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46290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46105</v>
      </c>
      <c r="E127" s="1" t="n">
        <v>46290</v>
      </c>
      <c r="F127" t="inlineStr">
        <is>
          <t>VÄSTMANLANDS LÄN</t>
        </is>
      </c>
      <c r="G127" t="inlineStr">
        <is>
          <t>NORBERG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46290</v>
      </c>
      <c r="F128" t="inlineStr">
        <is>
          <t>VÄSTMANLANDS LÄN</t>
        </is>
      </c>
      <c r="G128" t="inlineStr">
        <is>
          <t>NORBERG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15265-2026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46290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15981-2026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46108</v>
      </c>
      <c r="E130" s="1" t="n">
        <v>46290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46290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16383-2026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46290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46114</v>
      </c>
      <c r="E133" s="1" t="n">
        <v>46290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16897-2026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46290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46290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27716-2026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46290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17318-2026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46290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46290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46290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46290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46290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46290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46290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46290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46865-2023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45200</v>
      </c>
      <c r="E145" s="1" t="n">
        <v>46290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46290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46290</v>
      </c>
      <c r="F147" t="inlineStr">
        <is>
          <t>VÄSTMANLANDS LÄN</t>
        </is>
      </c>
      <c r="G147" t="inlineStr">
        <is>
          <t>NORBERG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45588</v>
      </c>
      <c r="E148" s="1" t="n">
        <v>46290</v>
      </c>
      <c r="F148" t="inlineStr">
        <is>
          <t>VÄSTMANLANDS LÄN</t>
        </is>
      </c>
      <c r="G148" t="inlineStr">
        <is>
          <t>NORBERG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46290</v>
      </c>
      <c r="F149" t="inlineStr">
        <is>
          <t>VÄSTMANLANDS LÄN</t>
        </is>
      </c>
      <c r="G149" t="inlineStr">
        <is>
          <t>NORBERG</t>
        </is>
      </c>
      <c r="H149" t="inlineStr">
        <is>
          <t>Bergvik skog väst AB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45063</v>
      </c>
      <c r="E150" s="1" t="n">
        <v>46290</v>
      </c>
      <c r="F150" t="inlineStr">
        <is>
          <t>VÄSTMANLANDS LÄN</t>
        </is>
      </c>
      <c r="G150" t="inlineStr">
        <is>
          <t>NORBERG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46290</v>
      </c>
      <c r="F151" t="inlineStr">
        <is>
          <t>VÄSTMANLANDS LÄN</t>
        </is>
      </c>
      <c r="G151" t="inlineStr">
        <is>
          <t>NORBERG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19254-2023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45049</v>
      </c>
      <c r="E152" s="1" t="n">
        <v>46290</v>
      </c>
      <c r="F152" t="inlineStr">
        <is>
          <t>VÄSTMANLANDS LÄN</t>
        </is>
      </c>
      <c r="G152" t="inlineStr">
        <is>
          <t>NORBERG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34832-2026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46258</v>
      </c>
      <c r="E153" s="1" t="n">
        <v>46290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67356-2021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46290</v>
      </c>
      <c r="F154" t="inlineStr">
        <is>
          <t>VÄSTMANLANDS LÄN</t>
        </is>
      </c>
      <c r="G154" t="inlineStr">
        <is>
          <t>NORBERG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46290</v>
      </c>
      <c r="F155" t="inlineStr">
        <is>
          <t>VÄSTMANLANDS LÄN</t>
        </is>
      </c>
      <c r="G155" t="inlineStr">
        <is>
          <t>NORBERG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46290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35731-2026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46265</v>
      </c>
      <c r="E157" s="1" t="n">
        <v>46290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46265</v>
      </c>
      <c r="E158" s="1" t="n">
        <v>46290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31483-2026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46223</v>
      </c>
      <c r="E159" s="1" t="n">
        <v>46290</v>
      </c>
      <c r="F159" t="inlineStr">
        <is>
          <t>VÄSTMANLANDS LÄN</t>
        </is>
      </c>
      <c r="G159" t="inlineStr">
        <is>
          <t>NORBERG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45121</v>
      </c>
      <c r="E160" s="1" t="n">
        <v>46290</v>
      </c>
      <c r="F160" t="inlineStr">
        <is>
          <t>VÄSTMANLANDS LÄN</t>
        </is>
      </c>
      <c r="G160" t="inlineStr">
        <is>
          <t>NORBERG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36389-2026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46268</v>
      </c>
      <c r="E161" s="1" t="n">
        <v>46290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45028</v>
      </c>
      <c r="E162" s="1" t="n">
        <v>46290</v>
      </c>
      <c r="F162" t="inlineStr">
        <is>
          <t>VÄSTMANLANDS LÄN</t>
        </is>
      </c>
      <c r="G162" t="inlineStr">
        <is>
          <t>NORBERG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46290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46197</v>
      </c>
      <c r="E164" s="1" t="n">
        <v>46290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46290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46290</v>
      </c>
      <c r="F166" t="inlineStr">
        <is>
          <t>VÄSTMANLANDS LÄN</t>
        </is>
      </c>
      <c r="G166" t="inlineStr">
        <is>
          <t>NORBERG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46253</v>
      </c>
      <c r="E167" s="1" t="n">
        <v>46290</v>
      </c>
      <c r="F167" t="inlineStr">
        <is>
          <t>VÄSTMANLANDS LÄN</t>
        </is>
      </c>
      <c r="G167" t="inlineStr">
        <is>
          <t>NORBERG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46290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46232</v>
      </c>
      <c r="E169" s="1" t="n">
        <v>46290</v>
      </c>
      <c r="F169" t="inlineStr">
        <is>
          <t>VÄSTMANLANDS LÄN</t>
        </is>
      </c>
      <c r="G169" t="inlineStr">
        <is>
          <t>NORBERG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44727</v>
      </c>
      <c r="E170" s="1" t="n">
        <v>46290</v>
      </c>
      <c r="F170" t="inlineStr">
        <is>
          <t>VÄSTMANLANDS LÄN</t>
        </is>
      </c>
      <c r="G170" t="inlineStr">
        <is>
          <t>NORBERG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31967-2026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46232</v>
      </c>
      <c r="E171" s="1" t="n">
        <v>46290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45607</v>
      </c>
      <c r="E172" s="1" t="n">
        <v>46290</v>
      </c>
      <c r="F172" t="inlineStr">
        <is>
          <t>VÄSTMANLANDS LÄN</t>
        </is>
      </c>
      <c r="G172" t="inlineStr">
        <is>
          <t>NORBERG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46233</v>
      </c>
      <c r="E173" s="1" t="n">
        <v>46290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46290</v>
      </c>
      <c r="F174" t="inlineStr">
        <is>
          <t>VÄSTMANLANDS LÄN</t>
        </is>
      </c>
      <c r="G174" t="inlineStr">
        <is>
          <t>NORBERG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46290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46290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32385-2026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46238</v>
      </c>
      <c r="E177" s="1" t="n">
        <v>46290</v>
      </c>
      <c r="F177" t="inlineStr">
        <is>
          <t>VÄSTMANLANDS LÄN</t>
        </is>
      </c>
      <c r="G177" t="inlineStr">
        <is>
          <t>NORBERG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46290</v>
      </c>
      <c r="F178" t="inlineStr">
        <is>
          <t>VÄSTMANLANDS LÄN</t>
        </is>
      </c>
      <c r="G178" t="inlineStr">
        <is>
          <t>NORBERG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46290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46290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46290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46290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46290</v>
      </c>
      <c r="F183" t="inlineStr">
        <is>
          <t>VÄSTMANLANDS LÄN</t>
        </is>
      </c>
      <c r="G183" t="inlineStr">
        <is>
          <t>NORBERG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46290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46290</v>
      </c>
      <c r="F185" t="inlineStr">
        <is>
          <t>VÄSTMANLANDS LÄN</t>
        </is>
      </c>
      <c r="G185" t="inlineStr">
        <is>
          <t>NORBERG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45576</v>
      </c>
      <c r="E186" s="1" t="n">
        <v>46290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46247</v>
      </c>
      <c r="E187" s="1" t="n">
        <v>46290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46290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46290</v>
      </c>
      <c r="F189" t="inlineStr">
        <is>
          <t>VÄSTMANLANDS LÄN</t>
        </is>
      </c>
      <c r="G189" t="inlineStr">
        <is>
          <t>NORBERG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46290</v>
      </c>
      <c r="F190" t="inlineStr">
        <is>
          <t>VÄSTMANLANDS LÄN</t>
        </is>
      </c>
      <c r="G190" t="inlineStr">
        <is>
          <t>NORBERG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46290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46290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46290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46290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2026-09-25T02:03:56Z</dcterms:created>
  <dcterms:modified xmlns:dcterms="http://purl.org/dc/terms/" xmlns:xsi="http://www.w3.org/2001/XMLSchema-instance" xsi:type="dcterms:W3CDTF">2026-09-25T02:03:56Z</dcterms:modified>
</cp:coreProperties>
</file>