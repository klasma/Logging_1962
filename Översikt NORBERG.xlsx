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46302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46302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46302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46302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46302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46302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46302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46302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46302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46302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46302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46302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46302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46302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46302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46302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46302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34967-2023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45142</v>
      </c>
      <c r="E21" s="1" t="n">
        <v>46302</v>
      </c>
      <c r="F21" t="inlineStr">
        <is>
          <t>VÄSTMANLANDS LÄN</t>
        </is>
      </c>
      <c r="G21" t="inlineStr">
        <is>
          <t>NORBERG</t>
        </is>
      </c>
      <c r="H21" t="inlineStr">
        <is>
          <t>Kyrkan</t>
        </is>
      </c>
      <c r="I21" t="n">
        <v>0.6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Skogsklocka</t>
        </is>
      </c>
      <c r="W21">
        <f>HYPERLINK("https://klasma.github.io/Logging_1962/artfynd/A 34967-2023 artfynd.xlsx", "A 34967-2023")</f>
        <v/>
      </c>
      <c r="X21">
        <f>HYPERLINK("https://klasma.github.io/Logging_1962/kartor/A 34967-2023 karta.png", "A 34967-2023")</f>
        <v/>
      </c>
      <c r="Y21">
        <f>HYPERLINK("https://klasma.github.io/Logging_1962/kartor_geotiff/A 34967-2023 georefererad karta.tif", "A 34967-2023")</f>
        <v/>
      </c>
      <c r="AA21">
        <f>HYPERLINK("https://klasma.github.io/Logging_1962/klagomål/A 34967-2023 FSC-klagomål.docx", "A 34967-2023")</f>
        <v/>
      </c>
      <c r="AB21">
        <f>HYPERLINK("https://klasma.github.io/Logging_1962/klagomålsmail/A 34967-2023 FSC-klagomål mail.docx", "A 34967-2023")</f>
        <v/>
      </c>
      <c r="AC21">
        <f>HYPERLINK("https://klasma.github.io/Logging_1962/tillsyn/A 34967-2023 tillsynsbegäran.docx", "A 34967-2023")</f>
        <v/>
      </c>
      <c r="AD21">
        <f>HYPERLINK("https://klasma.github.io/Logging_1962/tillsynsmail/A 34967-2023 tillsynsbegäran mail.docx", "A 34967-2023")</f>
        <v/>
      </c>
    </row>
    <row r="22" ht="15" customHeight="1">
      <c r="A22" t="inlineStr">
        <is>
          <t>A 18464-2025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46302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1.1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Skogsknipprot</t>
        </is>
      </c>
      <c r="W22">
        <f>HYPERLINK("https://klasma.github.io/Logging_1962/artfynd/A 18464-2025 artfynd.xlsx", "A 18464-2025")</f>
        <v/>
      </c>
      <c r="X22">
        <f>HYPERLINK("https://klasma.github.io/Logging_1962/kartor/A 18464-2025 karta.png", "A 18464-2025")</f>
        <v/>
      </c>
      <c r="Y22">
        <f>HYPERLINK("https://klasma.github.io/Logging_1962/kartor_geotiff/A 18464-2025 georefererad karta.tif", "A 18464-2025")</f>
        <v/>
      </c>
      <c r="AA22">
        <f>HYPERLINK("https://klasma.github.io/Logging_1962/klagomål/A 18464-2025 FSC-klagomål.docx", "A 18464-2025")</f>
        <v/>
      </c>
      <c r="AB22">
        <f>HYPERLINK("https://klasma.github.io/Logging_1962/klagomålsmail/A 18464-2025 FSC-klagomål mail.docx", "A 18464-2025")</f>
        <v/>
      </c>
      <c r="AC22">
        <f>HYPERLINK("https://klasma.github.io/Logging_1962/tillsyn/A 18464-2025 tillsynsbegäran.docx", "A 18464-2025")</f>
        <v/>
      </c>
      <c r="AD22">
        <f>HYPERLINK("https://klasma.github.io/Logging_1962/tillsynsmail/A 18464-2025 tillsynsbegäran mail.docx", "A 18464-2025")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46302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46302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52063-2022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44873</v>
      </c>
      <c r="E25" s="1" t="n">
        <v>46302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52063-2022 artfynd.xlsx", "A 52063-2022")</f>
        <v/>
      </c>
      <c r="X25">
        <f>HYPERLINK("https://klasma.github.io/Logging_1962/kartor/A 52063-2022 karta.png", "A 52063-2022")</f>
        <v/>
      </c>
      <c r="Y25">
        <f>HYPERLINK("https://klasma.github.io/Logging_1962/kartor_geotiff/A 52063-2022 georefererad karta.tif", "A 52063-2022")</f>
        <v/>
      </c>
      <c r="AA25">
        <f>HYPERLINK("https://klasma.github.io/Logging_1962/klagomål/A 52063-2022 FSC-klagomål.docx", "A 52063-2022")</f>
        <v/>
      </c>
      <c r="AB25">
        <f>HYPERLINK("https://klasma.github.io/Logging_1962/klagomålsmail/A 52063-2022 FSC-klagomål mail.docx", "A 52063-2022")</f>
        <v/>
      </c>
      <c r="AC25">
        <f>HYPERLINK("https://klasma.github.io/Logging_1962/tillsyn/A 52063-2022 tillsynsbegäran.docx", "A 52063-2022")</f>
        <v/>
      </c>
      <c r="AD25">
        <f>HYPERLINK("https://klasma.github.io/Logging_1962/tillsynsmail/A 52063-2022 tillsynsbegäran mail.docx", "A 52063-2022")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46302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46302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46302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46302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46302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46302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46302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46302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46302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46302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46302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46302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46302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46302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46302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46302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46302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46302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46302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46302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46302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51778-2024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46302</v>
      </c>
      <c r="F47" t="inlineStr">
        <is>
          <t>VÄSTMANLANDS LÄN</t>
        </is>
      </c>
      <c r="G47" t="inlineStr">
        <is>
          <t>NORBERG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46302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46302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46302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46302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45226</v>
      </c>
      <c r="E52" s="1" t="n">
        <v>46302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46302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36905-2023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45154</v>
      </c>
      <c r="E54" s="1" t="n">
        <v>46302</v>
      </c>
      <c r="F54" t="inlineStr">
        <is>
          <t>VÄSTMANLANDS LÄN</t>
        </is>
      </c>
      <c r="G54" t="inlineStr">
        <is>
          <t>NORBERG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46302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46302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45200</v>
      </c>
      <c r="E57" s="1" t="n">
        <v>46302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46302</v>
      </c>
      <c r="F58" t="inlineStr">
        <is>
          <t>VÄSTMANLANDS LÄN</t>
        </is>
      </c>
      <c r="G58" t="inlineStr">
        <is>
          <t>NORBERG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46302</v>
      </c>
      <c r="F59" t="inlineStr">
        <is>
          <t>VÄSTMANLANDS LÄN</t>
        </is>
      </c>
      <c r="G59" t="inlineStr">
        <is>
          <t>NORBERG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46302</v>
      </c>
      <c r="F60" t="inlineStr">
        <is>
          <t>VÄSTMANLANDS LÄN</t>
        </is>
      </c>
      <c r="G60" t="inlineStr">
        <is>
          <t>NORBERG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46302</v>
      </c>
      <c r="F61" t="inlineStr">
        <is>
          <t>VÄSTMANLANDS LÄN</t>
        </is>
      </c>
      <c r="G61" t="inlineStr">
        <is>
          <t>NORBERG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60339-2025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45994</v>
      </c>
      <c r="E62" s="1" t="n">
        <v>46302</v>
      </c>
      <c r="F62" t="inlineStr">
        <is>
          <t>VÄSTMANLANDS LÄN</t>
        </is>
      </c>
      <c r="G62" t="inlineStr">
        <is>
          <t>NORBERG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46302</v>
      </c>
      <c r="F63" t="inlineStr">
        <is>
          <t>VÄSTMANLANDS LÄN</t>
        </is>
      </c>
      <c r="G63" t="inlineStr">
        <is>
          <t>NORBERG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46302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63505-2023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45274</v>
      </c>
      <c r="E65" s="1" t="n">
        <v>46302</v>
      </c>
      <c r="F65" t="inlineStr">
        <is>
          <t>VÄSTMANLANDS LÄN</t>
        </is>
      </c>
      <c r="G65" t="inlineStr">
        <is>
          <t>NORBERG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46302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45179</v>
      </c>
      <c r="E67" s="1" t="n">
        <v>46302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44691</v>
      </c>
      <c r="E68" s="1" t="n">
        <v>46302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46302</v>
      </c>
      <c r="F69" t="inlineStr">
        <is>
          <t>VÄSTMANLANDS LÄN</t>
        </is>
      </c>
      <c r="G69" t="inlineStr">
        <is>
          <t>NORBERG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45001</v>
      </c>
      <c r="E70" s="1" t="n">
        <v>46302</v>
      </c>
      <c r="F70" t="inlineStr">
        <is>
          <t>VÄSTMANLANDS LÄN</t>
        </is>
      </c>
      <c r="G70" t="inlineStr">
        <is>
          <t>NORBERG</t>
        </is>
      </c>
      <c r="I70" t="n">
        <v>22.4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46302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46099</v>
      </c>
      <c r="E72" s="1" t="n">
        <v>46302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44628</v>
      </c>
      <c r="E73" s="1" t="n">
        <v>46302</v>
      </c>
      <c r="F73" t="inlineStr">
        <is>
          <t>VÄSTMANLANDS LÄN</t>
        </is>
      </c>
      <c r="G73" t="inlineStr">
        <is>
          <t>NORBERG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46302</v>
      </c>
      <c r="F74" t="inlineStr">
        <is>
          <t>VÄSTMANLANDS LÄN</t>
        </is>
      </c>
      <c r="G74" t="inlineStr">
        <is>
          <t>NORBERG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45729</v>
      </c>
      <c r="E75" s="1" t="n">
        <v>46302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46302</v>
      </c>
      <c r="F76" t="inlineStr">
        <is>
          <t>VÄSTMANLANDS LÄN</t>
        </is>
      </c>
      <c r="G76" t="inlineStr">
        <is>
          <t>NORBERG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46302</v>
      </c>
      <c r="F77" t="inlineStr">
        <is>
          <t>VÄSTMANLANDS LÄN</t>
        </is>
      </c>
      <c r="G77" t="inlineStr">
        <is>
          <t>NORBERG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46302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7.4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15981-2026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46302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45405</v>
      </c>
      <c r="E80" s="1" t="n">
        <v>46302</v>
      </c>
      <c r="F80" t="inlineStr">
        <is>
          <t>VÄSTMANLANDS LÄN</t>
        </is>
      </c>
      <c r="G80" t="inlineStr">
        <is>
          <t>NORBERG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46111</v>
      </c>
      <c r="E81" s="1" t="n">
        <v>46302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45769</v>
      </c>
      <c r="E82" s="1" t="n">
        <v>46302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17063-2026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46302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46113</v>
      </c>
      <c r="E84" s="1" t="n">
        <v>46302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17318-2026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46302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38018-2025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46302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45966</v>
      </c>
      <c r="E87" s="1" t="n">
        <v>46302</v>
      </c>
      <c r="F87" t="inlineStr">
        <is>
          <t>VÄSTMANLANDS LÄN</t>
        </is>
      </c>
      <c r="G87" t="inlineStr">
        <is>
          <t>NORBERG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46302</v>
      </c>
      <c r="F88" t="inlineStr">
        <is>
          <t>VÄSTMANLANDS LÄN</t>
        </is>
      </c>
      <c r="G88" t="inlineStr">
        <is>
          <t>NORBERG</t>
        </is>
      </c>
      <c r="H88" t="inlineStr">
        <is>
          <t>Övriga Aktiebolag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46302</v>
      </c>
      <c r="F89" t="inlineStr">
        <is>
          <t>VÄSTMANLANDS LÄN</t>
        </is>
      </c>
      <c r="G89" t="inlineStr">
        <is>
          <t>NORBERG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46302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56940-2021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44480</v>
      </c>
      <c r="E91" s="1" t="n">
        <v>46302</v>
      </c>
      <c r="F91" t="inlineStr">
        <is>
          <t>VÄSTMANLANDS LÄN</t>
        </is>
      </c>
      <c r="G91" t="inlineStr">
        <is>
          <t>NORBERG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46302</v>
      </c>
      <c r="F92" t="inlineStr">
        <is>
          <t>VÄSTMANLANDS LÄN</t>
        </is>
      </c>
      <c r="G92" t="inlineStr">
        <is>
          <t>NORBERG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46302</v>
      </c>
      <c r="F93" t="inlineStr">
        <is>
          <t>VÄSTMANLANDS LÄN</t>
        </is>
      </c>
      <c r="G93" t="inlineStr">
        <is>
          <t>NORBERG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46302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46302</v>
      </c>
      <c r="F95" t="inlineStr">
        <is>
          <t>VÄSTMANLANDS LÄN</t>
        </is>
      </c>
      <c r="G95" t="inlineStr">
        <is>
          <t>NORBERG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45598</v>
      </c>
      <c r="E96" s="1" t="n">
        <v>46302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46302</v>
      </c>
      <c r="F97" t="inlineStr">
        <is>
          <t>VÄSTMANLANDS LÄN</t>
        </is>
      </c>
      <c r="G97" t="inlineStr">
        <is>
          <t>NORBERG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46302</v>
      </c>
      <c r="F98" t="inlineStr">
        <is>
          <t>VÄSTMANLANDS LÄN</t>
        </is>
      </c>
      <c r="G98" t="inlineStr">
        <is>
          <t>NORBERG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46302</v>
      </c>
      <c r="F99" t="inlineStr">
        <is>
          <t>VÄSTMANLANDS LÄN</t>
        </is>
      </c>
      <c r="G99" t="inlineStr">
        <is>
          <t>NORBERG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46302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46302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46302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20968-2026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46142</v>
      </c>
      <c r="E103" s="1" t="n">
        <v>46302</v>
      </c>
      <c r="F103" t="inlineStr">
        <is>
          <t>VÄSTMANLANDS LÄN</t>
        </is>
      </c>
      <c r="G103" t="inlineStr">
        <is>
          <t>NORBERG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45679</v>
      </c>
      <c r="E104" s="1" t="n">
        <v>46302</v>
      </c>
      <c r="F104" t="inlineStr">
        <is>
          <t>VÄSTMANLANDS LÄN</t>
        </is>
      </c>
      <c r="G104" t="inlineStr">
        <is>
          <t>NORBERG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46302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46302</v>
      </c>
      <c r="F106" t="inlineStr">
        <is>
          <t>VÄSTMANLANDS LÄN</t>
        </is>
      </c>
      <c r="G106" t="inlineStr">
        <is>
          <t>NORBERG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46302</v>
      </c>
      <c r="F107" t="inlineStr">
        <is>
          <t>VÄSTMANLANDS LÄN</t>
        </is>
      </c>
      <c r="G107" t="inlineStr">
        <is>
          <t>NORBERG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46302</v>
      </c>
      <c r="F108" t="inlineStr">
        <is>
          <t>VÄSTMANLANDS LÄN</t>
        </is>
      </c>
      <c r="G108" t="inlineStr">
        <is>
          <t>NORBERG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46302</v>
      </c>
      <c r="F109" t="inlineStr">
        <is>
          <t>VÄSTMANLANDS LÄN</t>
        </is>
      </c>
      <c r="G109" t="inlineStr">
        <is>
          <t>NORBERG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56400-2025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45974</v>
      </c>
      <c r="E110" s="1" t="n">
        <v>46302</v>
      </c>
      <c r="F110" t="inlineStr">
        <is>
          <t>VÄSTMANLANDS LÄN</t>
        </is>
      </c>
      <c r="G110" t="inlineStr">
        <is>
          <t>NORBERG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57993-2024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46302</v>
      </c>
      <c r="F111" t="inlineStr">
        <is>
          <t>VÄSTMANLANDS LÄN</t>
        </is>
      </c>
      <c r="G111" t="inlineStr">
        <is>
          <t>NORBERG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25331-2026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46176</v>
      </c>
      <c r="E112" s="1" t="n">
        <v>46302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46302</v>
      </c>
      <c r="F113" t="inlineStr">
        <is>
          <t>VÄSTMANLANDS LÄN</t>
        </is>
      </c>
      <c r="G113" t="inlineStr">
        <is>
          <t>NORBERG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46302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46189</v>
      </c>
      <c r="E115" s="1" t="n">
        <v>46302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13.7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46302</v>
      </c>
      <c r="F116" t="inlineStr">
        <is>
          <t>VÄSTMANLANDS LÄN</t>
        </is>
      </c>
      <c r="G116" t="inlineStr">
        <is>
          <t>NORBERG</t>
        </is>
      </c>
      <c r="H116" t="inlineStr">
        <is>
          <t>Bergvik skog väst AB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46189</v>
      </c>
      <c r="E117" s="1" t="n">
        <v>46302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46302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46302</v>
      </c>
      <c r="F119" t="inlineStr">
        <is>
          <t>VÄSTMANLANDS LÄN</t>
        </is>
      </c>
      <c r="G119" t="inlineStr">
        <is>
          <t>NORBERG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45537</v>
      </c>
      <c r="E120" s="1" t="n">
        <v>46302</v>
      </c>
      <c r="F120" t="inlineStr">
        <is>
          <t>VÄSTMANLANDS LÄN</t>
        </is>
      </c>
      <c r="G120" t="inlineStr">
        <is>
          <t>NORBERG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46302</v>
      </c>
      <c r="F121" t="inlineStr">
        <is>
          <t>VÄSTMANLANDS LÄN</t>
        </is>
      </c>
      <c r="G121" t="inlineStr">
        <is>
          <t>NORBERG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21976-2026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46302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51790-2024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45607</v>
      </c>
      <c r="E123" s="1" t="n">
        <v>46302</v>
      </c>
      <c r="F123" t="inlineStr">
        <is>
          <t>VÄSTMANLANDS LÄN</t>
        </is>
      </c>
      <c r="G123" t="inlineStr">
        <is>
          <t>NORBERG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46302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46302</v>
      </c>
      <c r="F125" t="inlineStr">
        <is>
          <t>VÄSTMANLANDS LÄN</t>
        </is>
      </c>
      <c r="G125" t="inlineStr">
        <is>
          <t>NORBERG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46302</v>
      </c>
      <c r="F126" t="inlineStr">
        <is>
          <t>VÄSTMANLANDS LÄN</t>
        </is>
      </c>
      <c r="G126" t="inlineStr">
        <is>
          <t>NORBERG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45320</v>
      </c>
      <c r="E127" s="1" t="n">
        <v>46302</v>
      </c>
      <c r="F127" t="inlineStr">
        <is>
          <t>VÄSTMANLANDS LÄN</t>
        </is>
      </c>
      <c r="G127" t="inlineStr">
        <is>
          <t>NORBERG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23702-2024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46302</v>
      </c>
      <c r="F128" t="inlineStr">
        <is>
          <t>VÄSTMANLANDS LÄN</t>
        </is>
      </c>
      <c r="G128" t="inlineStr">
        <is>
          <t>NORBERG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46302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46265</v>
      </c>
      <c r="E130" s="1" t="n">
        <v>46302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46223</v>
      </c>
      <c r="E131" s="1" t="n">
        <v>46302</v>
      </c>
      <c r="F131" t="inlineStr">
        <is>
          <t>VÄSTMANLANDS LÄN</t>
        </is>
      </c>
      <c r="G131" t="inlineStr">
        <is>
          <t>NORBERG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46268</v>
      </c>
      <c r="E132" s="1" t="n">
        <v>46302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19377-2025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45769</v>
      </c>
      <c r="E133" s="1" t="n">
        <v>46302</v>
      </c>
      <c r="F133" t="inlineStr">
        <is>
          <t>VÄSTMANLANDS LÄN</t>
        </is>
      </c>
      <c r="G133" t="inlineStr">
        <is>
          <t>NORBERG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46302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36394-2026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46268</v>
      </c>
      <c r="E135" s="1" t="n">
        <v>46302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46302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46302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20378-2023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45056</v>
      </c>
      <c r="E138" s="1" t="n">
        <v>46302</v>
      </c>
      <c r="F138" t="inlineStr">
        <is>
          <t>VÄSTMANLANDS LÄN</t>
        </is>
      </c>
      <c r="G138" t="inlineStr">
        <is>
          <t>NORBERG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46302</v>
      </c>
      <c r="F139" t="inlineStr">
        <is>
          <t>VÄSTMANLANDS LÄN</t>
        </is>
      </c>
      <c r="G139" t="inlineStr">
        <is>
          <t>NORBERG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46302</v>
      </c>
      <c r="F140" t="inlineStr">
        <is>
          <t>VÄSTMANLANDS LÄN</t>
        </is>
      </c>
      <c r="G140" t="inlineStr">
        <is>
          <t>NORBERG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46302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46302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46302</v>
      </c>
      <c r="F143" t="inlineStr">
        <is>
          <t>VÄSTMANLANDS LÄN</t>
        </is>
      </c>
      <c r="G143" t="inlineStr">
        <is>
          <t>NORBERG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46302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46302</v>
      </c>
      <c r="F145" t="inlineStr">
        <is>
          <t>VÄSTMANLANDS LÄN</t>
        </is>
      </c>
      <c r="G145" t="inlineStr">
        <is>
          <t>NORBERG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31967-2026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46232</v>
      </c>
      <c r="E146" s="1" t="n">
        <v>46302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46233</v>
      </c>
      <c r="E147" s="1" t="n">
        <v>46302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46302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32385-2026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46238</v>
      </c>
      <c r="E149" s="1" t="n">
        <v>46302</v>
      </c>
      <c r="F149" t="inlineStr">
        <is>
          <t>VÄSTMANLANDS LÄN</t>
        </is>
      </c>
      <c r="G149" t="inlineStr">
        <is>
          <t>NORBERG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46302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46302</v>
      </c>
      <c r="F151" t="inlineStr">
        <is>
          <t>VÄSTMANLANDS LÄN</t>
        </is>
      </c>
      <c r="G151" t="inlineStr">
        <is>
          <t>NORBERG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46302</v>
      </c>
      <c r="F152" t="inlineStr">
        <is>
          <t>VÄSTMANLANDS LÄN</t>
        </is>
      </c>
      <c r="G152" t="inlineStr">
        <is>
          <t>NORBERG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46302</v>
      </c>
      <c r="F153" t="inlineStr">
        <is>
          <t>VÄSTMANLANDS LÄN</t>
        </is>
      </c>
      <c r="G153" t="inlineStr">
        <is>
          <t>NORBERG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45613</v>
      </c>
      <c r="E154" s="1" t="n">
        <v>46302</v>
      </c>
      <c r="F154" t="inlineStr">
        <is>
          <t>VÄSTMANLANDS LÄN</t>
        </is>
      </c>
      <c r="G154" t="inlineStr">
        <is>
          <t>NORBERG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36013-2026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46266</v>
      </c>
      <c r="E155" s="1" t="n">
        <v>46302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46302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46302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46302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46302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45200</v>
      </c>
      <c r="E160" s="1" t="n">
        <v>46302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46302</v>
      </c>
      <c r="F161" t="inlineStr">
        <is>
          <t>VÄSTMANLANDS LÄN</t>
        </is>
      </c>
      <c r="G161" t="inlineStr">
        <is>
          <t>NORBERG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46302</v>
      </c>
      <c r="F162" t="inlineStr">
        <is>
          <t>VÄSTMANLANDS LÄN</t>
        </is>
      </c>
      <c r="G162" t="inlineStr">
        <is>
          <t>NORBERG</t>
        </is>
      </c>
      <c r="H162" t="inlineStr">
        <is>
          <t>Övriga Aktiebolag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46302</v>
      </c>
      <c r="F163" t="inlineStr">
        <is>
          <t>VÄSTMANLANDS LÄN</t>
        </is>
      </c>
      <c r="G163" t="inlineStr">
        <is>
          <t>NORBERG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46302</v>
      </c>
      <c r="F164" t="inlineStr">
        <is>
          <t>VÄSTMANLANDS LÄN</t>
        </is>
      </c>
      <c r="G164" t="inlineStr">
        <is>
          <t>NORBERG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46302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46253</v>
      </c>
      <c r="E166" s="1" t="n">
        <v>46302</v>
      </c>
      <c r="F166" t="inlineStr">
        <is>
          <t>VÄSTMANLANDS LÄN</t>
        </is>
      </c>
      <c r="G166" t="inlineStr">
        <is>
          <t>NORBERG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46302</v>
      </c>
      <c r="F167" t="inlineStr">
        <is>
          <t>VÄSTMANLANDS LÄN</t>
        </is>
      </c>
      <c r="G167" t="inlineStr">
        <is>
          <t>NORBERG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46302</v>
      </c>
      <c r="F168" t="inlineStr">
        <is>
          <t>VÄSTMANLANDS LÄN</t>
        </is>
      </c>
      <c r="G168" t="inlineStr">
        <is>
          <t>NORBERG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46302</v>
      </c>
      <c r="F169" t="inlineStr">
        <is>
          <t>VÄSTMANLANDS LÄN</t>
        </is>
      </c>
      <c r="G169" t="inlineStr">
        <is>
          <t>NORBERG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46302</v>
      </c>
      <c r="F170" t="inlineStr">
        <is>
          <t>VÄSTMANLANDS LÄN</t>
        </is>
      </c>
      <c r="G170" t="inlineStr">
        <is>
          <t>NORBERG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46302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67356-2021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44523</v>
      </c>
      <c r="E172" s="1" t="n">
        <v>46302</v>
      </c>
      <c r="F172" t="inlineStr">
        <is>
          <t>VÄSTMANLANDS LÄN</t>
        </is>
      </c>
      <c r="G172" t="inlineStr">
        <is>
          <t>NORBERG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46302</v>
      </c>
      <c r="F173" t="inlineStr">
        <is>
          <t>VÄSTMANLANDS LÄN</t>
        </is>
      </c>
      <c r="G173" t="inlineStr">
        <is>
          <t>NORBERG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45233</v>
      </c>
      <c r="E174" s="1" t="n">
        <v>46302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45121</v>
      </c>
      <c r="E175" s="1" t="n">
        <v>46302</v>
      </c>
      <c r="F175" t="inlineStr">
        <is>
          <t>VÄSTMANLANDS LÄN</t>
        </is>
      </c>
      <c r="G175" t="inlineStr">
        <is>
          <t>NORBERG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45028</v>
      </c>
      <c r="E176" s="1" t="n">
        <v>46302</v>
      </c>
      <c r="F176" t="inlineStr">
        <is>
          <t>VÄSTMANLANDS LÄN</t>
        </is>
      </c>
      <c r="G176" t="inlineStr">
        <is>
          <t>NORBERG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45089</v>
      </c>
      <c r="E177" s="1" t="n">
        <v>46302</v>
      </c>
      <c r="F177" t="inlineStr">
        <is>
          <t>VÄSTMANLANDS LÄN</t>
        </is>
      </c>
      <c r="G177" t="inlineStr">
        <is>
          <t>NORBERG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46302</v>
      </c>
      <c r="F178" t="inlineStr">
        <is>
          <t>VÄSTMANLANDS LÄN</t>
        </is>
      </c>
      <c r="G178" t="inlineStr">
        <is>
          <t>NORBERG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46302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46302</v>
      </c>
      <c r="F180" t="inlineStr">
        <is>
          <t>VÄSTMANLANDS LÄN</t>
        </is>
      </c>
      <c r="G180" t="inlineStr">
        <is>
          <t>NORBERG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44992</v>
      </c>
      <c r="E181" s="1" t="n">
        <v>46302</v>
      </c>
      <c r="F181" t="inlineStr">
        <is>
          <t>VÄSTMANLANDS LÄN</t>
        </is>
      </c>
      <c r="G181" t="inlineStr">
        <is>
          <t>NORBERG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46302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46302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46302</v>
      </c>
      <c r="F184" t="inlineStr">
        <is>
          <t>VÄSTMANLANDS LÄN</t>
        </is>
      </c>
      <c r="G184" t="inlineStr">
        <is>
          <t>NORBERG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46302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46302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46302</v>
      </c>
      <c r="F187" t="inlineStr">
        <is>
          <t>VÄSTMANLANDS LÄN</t>
        </is>
      </c>
      <c r="G187" t="inlineStr">
        <is>
          <t>NORBERG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46302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46302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46302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46302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46302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46302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2026-10-07T02:07:30Z</dcterms:created>
  <dcterms:modified xmlns:dcterms="http://purl.org/dc/terms/" xmlns:xsi="http://www.w3.org/2001/XMLSchema-instance" xsi:type="dcterms:W3CDTF">2026-10-07T02:07:30Z</dcterms:modified>
</cp:coreProperties>
</file>