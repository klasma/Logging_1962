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31484-2026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46223</v>
      </c>
      <c r="E3" s="1" t="n">
        <v>46225</v>
      </c>
      <c r="F3" t="inlineStr">
        <is>
          <t>VÄSTMANLANDS LÄN</t>
        </is>
      </c>
      <c r="G3" t="inlineStr">
        <is>
          <t>NORBERG</t>
        </is>
      </c>
      <c r="I3" t="n">
        <v>11.7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Bårdlav
Korallblylav
Rävticka</t>
        </is>
      </c>
      <c r="W3">
        <f>HYPERLINK("https://klasma.github.io/Logging_1962/artfynd/A 31484-2026 artfynd.xlsx", "A 31484-2026")</f>
        <v/>
      </c>
      <c r="X3">
        <f>HYPERLINK("https://klasma.github.io/Logging_1962/kartor/A 31484-2026 karta.png", "A 31484-2026")</f>
        <v/>
      </c>
      <c r="Y3">
        <f>HYPERLINK("https://klasma.github.io/Logging_1962/kartor_geotiff/A 31484-2026 georefererad karta.tif", "A 31484-2026")</f>
        <v/>
      </c>
      <c r="AA3">
        <f>HYPERLINK("https://klasma.github.io/Logging_1962/klagomål/A 31484-2026 FSC-klagomål.docx", "A 31484-2026")</f>
        <v/>
      </c>
      <c r="AB3">
        <f>HYPERLINK("https://klasma.github.io/Logging_1962/klagomålsmail/A 31484-2026 FSC-klagomål mail.docx", "A 31484-2026")</f>
        <v/>
      </c>
      <c r="AC3">
        <f>HYPERLINK("https://klasma.github.io/Logging_1962/tillsyn/A 31484-2026 tillsynsbegäran.docx", "A 31484-2026")</f>
        <v/>
      </c>
      <c r="AD3">
        <f>HYPERLINK("https://klasma.github.io/Logging_1962/tillsynsmail/A 31484-2026 tillsynsbegäran mail.docx", "A 31484-2026")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46225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46225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46225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46225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46225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46225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Plattlummer</t>
        </is>
      </c>
      <c r="W9">
        <f>HYPERLINK("https://klasma.github.io/Logging_1962/artfynd/A 20257-2025 artfynd.xlsx", "A 20257-2025")</f>
        <v/>
      </c>
      <c r="X9">
        <f>HYPERLINK("https://klasma.github.io/Logging_1962/kartor/A 20257-2025 karta.png", "A 20257-2025")</f>
        <v/>
      </c>
      <c r="Y9">
        <f>HYPERLINK("https://klasma.github.io/Logging_1962/kartor_geotiff/A 20257-2025 georefererad karta.tif", "A 20257-2025")</f>
        <v/>
      </c>
      <c r="AA9">
        <f>HYPERLINK("https://klasma.github.io/Logging_1962/klagomål/A 20257-2025 FSC-klagomål.docx", "A 20257-2025")</f>
        <v/>
      </c>
      <c r="AB9">
        <f>HYPERLINK("https://klasma.github.io/Logging_1962/klagomålsmail/A 20257-2025 FSC-klagomål mail.docx", "A 20257-2025")</f>
        <v/>
      </c>
      <c r="AC9">
        <f>HYPERLINK("https://klasma.github.io/Logging_1962/tillsyn/A 20257-2025 tillsynsbegäran.docx", "A 20257-2025")</f>
        <v/>
      </c>
      <c r="AD9">
        <f>HYPERLINK("https://klasma.github.io/Logging_1962/tillsynsmail/A 20257-2025 tillsynsbegäran mail.docx", "A 20257-2025")</f>
        <v/>
      </c>
    </row>
    <row r="10" ht="15" customHeight="1">
      <c r="A10" t="inlineStr">
        <is>
          <t>A 52063-2022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46225</v>
      </c>
      <c r="F10" t="inlineStr">
        <is>
          <t>VÄSTMANLANDS LÄN</t>
        </is>
      </c>
      <c r="G10" t="inlineStr">
        <is>
          <t>NORBERG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HYPERLINK("https://klasma.github.io/Logging_1962/artfynd/A 52063-2022 artfynd.xlsx", "A 52063-2022")</f>
        <v/>
      </c>
      <c r="X10">
        <f>HYPERLINK("https://klasma.github.io/Logging_1962/kartor/A 52063-2022 karta.png", "A 52063-2022")</f>
        <v/>
      </c>
      <c r="Y10">
        <f>HYPERLINK("https://klasma.github.io/Logging_1962/kartor_geotiff/A 52063-2022 georefererad karta.tif", "A 52063-2022")</f>
        <v/>
      </c>
      <c r="AA10">
        <f>HYPERLINK("https://klasma.github.io/Logging_1962/klagomål/A 52063-2022 FSC-klagomål.docx", "A 52063-2022")</f>
        <v/>
      </c>
      <c r="AB10">
        <f>HYPERLINK("https://klasma.github.io/Logging_1962/klagomålsmail/A 52063-2022 FSC-klagomål mail.docx", "A 52063-2022")</f>
        <v/>
      </c>
      <c r="AC10">
        <f>HYPERLINK("https://klasma.github.io/Logging_1962/tillsyn/A 52063-2022 tillsynsbegäran.docx", "A 52063-2022")</f>
        <v/>
      </c>
      <c r="AD10">
        <f>HYPERLINK("https://klasma.github.io/Logging_1962/tillsynsmail/A 52063-2022 tillsynsbegäran mail.docx", "A 52063-2022")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46225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HYPERLINK("https://klasma.github.io/Logging_1962/artfynd/A 38017-2025 artfynd.xlsx", "A 38017-2025")</f>
        <v/>
      </c>
      <c r="X11">
        <f>HYPERLINK("https://klasma.github.io/Logging_1962/kartor/A 38017-2025 karta.png", "A 38017-2025")</f>
        <v/>
      </c>
      <c r="Y11">
        <f>HYPERLINK("https://klasma.github.io/Logging_1962/kartor_geotiff/A 38017-2025 georefererad karta.tif", "A 38017-2025")</f>
        <v/>
      </c>
      <c r="AA11">
        <f>HYPERLINK("https://klasma.github.io/Logging_1962/klagomål/A 38017-2025 FSC-klagomål.docx", "A 38017-2025")</f>
        <v/>
      </c>
      <c r="AB11">
        <f>HYPERLINK("https://klasma.github.io/Logging_1962/klagomålsmail/A 38017-2025 FSC-klagomål mail.docx", "A 38017-2025")</f>
        <v/>
      </c>
      <c r="AC11">
        <f>HYPERLINK("https://klasma.github.io/Logging_1962/tillsyn/A 38017-2025 tillsynsbegäran.docx", "A 38017-2025")</f>
        <v/>
      </c>
      <c r="AD11">
        <f>HYPERLINK("https://klasma.github.io/Logging_1962/tillsynsmail/A 38017-2025 tillsynsbegäran mail.docx", "A 38017-2025")</f>
        <v/>
      </c>
    </row>
    <row r="12" ht="15" customHeight="1">
      <c r="A12" t="inlineStr">
        <is>
          <t>A 28307-2026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46196</v>
      </c>
      <c r="E12" s="1" t="n">
        <v>46225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2.4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Plattlummer</t>
        </is>
      </c>
      <c r="W12">
        <f>HYPERLINK("https://klasma.github.io/Logging_1962/artfynd/A 28307-2026 artfynd.xlsx", "A 28307-2026")</f>
        <v/>
      </c>
      <c r="X12">
        <f>HYPERLINK("https://klasma.github.io/Logging_1962/kartor/A 28307-2026 karta.png", "A 28307-2026")</f>
        <v/>
      </c>
      <c r="Y12">
        <f>HYPERLINK("https://klasma.github.io/Logging_1962/kartor_geotiff/A 28307-2026 georefererad karta.tif", "A 28307-2026")</f>
        <v/>
      </c>
      <c r="AA12">
        <f>HYPERLINK("https://klasma.github.io/Logging_1962/klagomål/A 28307-2026 FSC-klagomål.docx", "A 28307-2026")</f>
        <v/>
      </c>
      <c r="AB12">
        <f>HYPERLINK("https://klasma.github.io/Logging_1962/klagomålsmail/A 28307-2026 FSC-klagomål mail.docx", "A 28307-2026")</f>
        <v/>
      </c>
      <c r="AC12">
        <f>HYPERLINK("https://klasma.github.io/Logging_1962/tillsyn/A 28307-2026 tillsynsbegäran.docx", "A 28307-2026")</f>
        <v/>
      </c>
      <c r="AD12">
        <f>HYPERLINK("https://klasma.github.io/Logging_1962/tillsynsmail/A 28307-2026 tillsynsbegäran mail.docx", "A 28307-2026")</f>
        <v/>
      </c>
    </row>
    <row r="13" ht="15" customHeight="1">
      <c r="A13" t="inlineStr">
        <is>
          <t>A 34967-2023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45142</v>
      </c>
      <c r="E13" s="1" t="n">
        <v>46225</v>
      </c>
      <c r="F13" t="inlineStr">
        <is>
          <t>VÄSTMANLANDS LÄN</t>
        </is>
      </c>
      <c r="G13" t="inlineStr">
        <is>
          <t>NORBERG</t>
        </is>
      </c>
      <c r="H13" t="inlineStr">
        <is>
          <t>Kyrkan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Skogsklocka</t>
        </is>
      </c>
      <c r="W13">
        <f>HYPERLINK("https://klasma.github.io/Logging_1962/artfynd/A 34967-2023 artfynd.xlsx", "A 34967-2023")</f>
        <v/>
      </c>
      <c r="X13">
        <f>HYPERLINK("https://klasma.github.io/Logging_1962/kartor/A 34967-2023 karta.png", "A 34967-2023")</f>
        <v/>
      </c>
      <c r="Y13">
        <f>HYPERLINK("https://klasma.github.io/Logging_1962/kartor_geotiff/A 34967-2023 georefererad karta.tif", "A 34967-2023")</f>
        <v/>
      </c>
      <c r="AA13">
        <f>HYPERLINK("https://klasma.github.io/Logging_1962/klagomål/A 34967-2023 FSC-klagomål.docx", "A 34967-2023")</f>
        <v/>
      </c>
      <c r="AB13">
        <f>HYPERLINK("https://klasma.github.io/Logging_1962/klagomålsmail/A 34967-2023 FSC-klagomål mail.docx", "A 34967-2023")</f>
        <v/>
      </c>
      <c r="AC13">
        <f>HYPERLINK("https://klasma.github.io/Logging_1962/tillsyn/A 34967-2023 tillsynsbegäran.docx", "A 34967-2023")</f>
        <v/>
      </c>
      <c r="AD13">
        <f>HYPERLINK("https://klasma.github.io/Logging_1962/tillsynsmail/A 34967-2023 tillsynsbegäran mail.docx", "A 34967-2023")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46225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46225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46225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46225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46225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46225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46225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46225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46225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46225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46225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46225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46225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46225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46225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46225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46225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46225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46225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46225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46225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46225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46225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46225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46225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46225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46225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46225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46225</v>
      </c>
      <c r="F42" t="inlineStr">
        <is>
          <t>VÄSTMANLANDS LÄN</t>
        </is>
      </c>
      <c r="G42" t="inlineStr">
        <is>
          <t>NORBERG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67356-2021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44523</v>
      </c>
      <c r="E43" s="1" t="n">
        <v>46225</v>
      </c>
      <c r="F43" t="inlineStr">
        <is>
          <t>VÄSTMANLANDS LÄN</t>
        </is>
      </c>
      <c r="G43" t="inlineStr">
        <is>
          <t>NORBERG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46225</v>
      </c>
      <c r="F44" t="inlineStr">
        <is>
          <t>VÄSTMANLANDS LÄN</t>
        </is>
      </c>
      <c r="G44" t="inlineStr">
        <is>
          <t>NORBERG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27589-2024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45474</v>
      </c>
      <c r="E45" s="1" t="n">
        <v>46225</v>
      </c>
      <c r="F45" t="inlineStr">
        <is>
          <t>VÄSTMANLANDS LÄN</t>
        </is>
      </c>
      <c r="G45" t="inlineStr">
        <is>
          <t>NORBERG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46225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36905-2023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45154</v>
      </c>
      <c r="E47" s="1" t="n">
        <v>46225</v>
      </c>
      <c r="F47" t="inlineStr">
        <is>
          <t>VÄSTMANLANDS LÄN</t>
        </is>
      </c>
      <c r="G47" t="inlineStr">
        <is>
          <t>NORBERG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45320</v>
      </c>
      <c r="E48" s="1" t="n">
        <v>46225</v>
      </c>
      <c r="F48" t="inlineStr">
        <is>
          <t>VÄSTMANLANDS LÄN</t>
        </is>
      </c>
      <c r="G48" t="inlineStr">
        <is>
          <t>NORBERG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40144-2023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46225</v>
      </c>
      <c r="F49" t="inlineStr">
        <is>
          <t>VÄSTMANLANDS LÄN</t>
        </is>
      </c>
      <c r="G49" t="inlineStr">
        <is>
          <t>NORBERG</t>
        </is>
      </c>
      <c r="H49" t="inlineStr">
        <is>
          <t>Sveaskog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46225</v>
      </c>
      <c r="F50" t="inlineStr">
        <is>
          <t>VÄSTMANLANDS LÄN</t>
        </is>
      </c>
      <c r="G50" t="inlineStr">
        <is>
          <t>NORBERG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46045</v>
      </c>
      <c r="E51" s="1" t="n">
        <v>46225</v>
      </c>
      <c r="F51" t="inlineStr">
        <is>
          <t>VÄSTMANLANDS LÄN</t>
        </is>
      </c>
      <c r="G51" t="inlineStr">
        <is>
          <t>NORBERG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46225</v>
      </c>
      <c r="F52" t="inlineStr">
        <is>
          <t>VÄSTMANLANDS LÄN</t>
        </is>
      </c>
      <c r="G52" t="inlineStr">
        <is>
          <t>NORBERG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46225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60339-2025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45994</v>
      </c>
      <c r="E54" s="1" t="n">
        <v>46225</v>
      </c>
      <c r="F54" t="inlineStr">
        <is>
          <t>VÄSTMANLANDS LÄN</t>
        </is>
      </c>
      <c r="G54" t="inlineStr">
        <is>
          <t>NORBERG</t>
        </is>
      </c>
      <c r="H54" t="inlineStr">
        <is>
          <t>Kommuner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46225</v>
      </c>
      <c r="F55" t="inlineStr">
        <is>
          <t>VÄSTMANLANDS LÄN</t>
        </is>
      </c>
      <c r="G55" t="inlineStr">
        <is>
          <t>NORBERG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46093</v>
      </c>
      <c r="E56" s="1" t="n">
        <v>46225</v>
      </c>
      <c r="F56" t="inlineStr">
        <is>
          <t>VÄSTMANLANDS LÄN</t>
        </is>
      </c>
      <c r="G56" t="inlineStr">
        <is>
          <t>NORBERG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13471-2026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46225</v>
      </c>
      <c r="F57" t="inlineStr">
        <is>
          <t>VÄSTMANLANDS LÄN</t>
        </is>
      </c>
      <c r="G57" t="inlineStr">
        <is>
          <t>NORBERG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46099</v>
      </c>
      <c r="E58" s="1" t="n">
        <v>46225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46225</v>
      </c>
      <c r="F59" t="inlineStr">
        <is>
          <t>VÄSTMANLANDS LÄN</t>
        </is>
      </c>
      <c r="G59" t="inlineStr">
        <is>
          <t>NORBERG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48997-2025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46225</v>
      </c>
      <c r="F60" t="inlineStr">
        <is>
          <t>VÄSTMANLANDS LÄN</t>
        </is>
      </c>
      <c r="G60" t="inlineStr">
        <is>
          <t>NORBERG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46225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15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45882</v>
      </c>
      <c r="E62" s="1" t="n">
        <v>46225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15261-2026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46105</v>
      </c>
      <c r="E63" s="1" t="n">
        <v>46225</v>
      </c>
      <c r="F63" t="inlineStr">
        <is>
          <t>VÄSTMANLANDS LÄN</t>
        </is>
      </c>
      <c r="G63" t="inlineStr">
        <is>
          <t>NORBERG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15263-2026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46105</v>
      </c>
      <c r="E64" s="1" t="n">
        <v>46225</v>
      </c>
      <c r="F64" t="inlineStr">
        <is>
          <t>VÄSTMANLANDS LÄN</t>
        </is>
      </c>
      <c r="G64" t="inlineStr">
        <is>
          <t>NORBERG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46105</v>
      </c>
      <c r="E65" s="1" t="n">
        <v>46225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46225</v>
      </c>
      <c r="F66" t="inlineStr">
        <is>
          <t>VÄSTMANLANDS LÄN</t>
        </is>
      </c>
      <c r="G66" t="inlineStr">
        <is>
          <t>NORBERG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15981-2026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46108</v>
      </c>
      <c r="E67" s="1" t="n">
        <v>46225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46111</v>
      </c>
      <c r="E68" s="1" t="n">
        <v>46225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16897-2026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46113</v>
      </c>
      <c r="E69" s="1" t="n">
        <v>46225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17063-2026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46225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17318-2026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46225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20378-2023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45056</v>
      </c>
      <c r="E72" s="1" t="n">
        <v>46225</v>
      </c>
      <c r="F72" t="inlineStr">
        <is>
          <t>VÄSTMANLANDS LÄN</t>
        </is>
      </c>
      <c r="G72" t="inlineStr">
        <is>
          <t>NORBERG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45966</v>
      </c>
      <c r="E73" s="1" t="n">
        <v>46225</v>
      </c>
      <c r="F73" t="inlineStr">
        <is>
          <t>VÄSTMANLANDS LÄN</t>
        </is>
      </c>
      <c r="G73" t="inlineStr">
        <is>
          <t>NORBERG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45408</v>
      </c>
      <c r="E74" s="1" t="n">
        <v>46225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46225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45091</v>
      </c>
      <c r="E76" s="1" t="n">
        <v>46225</v>
      </c>
      <c r="F76" t="inlineStr">
        <is>
          <t>VÄSTMANLANDS LÄN</t>
        </is>
      </c>
      <c r="G76" t="inlineStr">
        <is>
          <t>NORBERG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45989</v>
      </c>
      <c r="E77" s="1" t="n">
        <v>46225</v>
      </c>
      <c r="F77" t="inlineStr">
        <is>
          <t>VÄSTMANLANDS LÄN</t>
        </is>
      </c>
      <c r="G77" t="inlineStr">
        <is>
          <t>NORBERG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54143-2025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46225</v>
      </c>
      <c r="F78" t="inlineStr">
        <is>
          <t>VÄSTMANLANDS LÄN</t>
        </is>
      </c>
      <c r="G78" t="inlineStr">
        <is>
          <t>NORBERG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46225</v>
      </c>
      <c r="F79" t="inlineStr">
        <is>
          <t>VÄSTMANLANDS LÄN</t>
        </is>
      </c>
      <c r="G79" t="inlineStr">
        <is>
          <t>NORBERG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56940-2021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44480</v>
      </c>
      <c r="E80" s="1" t="n">
        <v>46225</v>
      </c>
      <c r="F80" t="inlineStr">
        <is>
          <t>VÄSTMANLANDS LÄN</t>
        </is>
      </c>
      <c r="G80" t="inlineStr">
        <is>
          <t>NORBERG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46019</v>
      </c>
      <c r="E81" s="1" t="n">
        <v>46225</v>
      </c>
      <c r="F81" t="inlineStr">
        <is>
          <t>VÄSTMANLANDS LÄN</t>
        </is>
      </c>
      <c r="G81" t="inlineStr">
        <is>
          <t>NORBERG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40232-2024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45554</v>
      </c>
      <c r="E82" s="1" t="n">
        <v>46225</v>
      </c>
      <c r="F82" t="inlineStr">
        <is>
          <t>VÄSTMANLANDS LÄN</t>
        </is>
      </c>
      <c r="G82" t="inlineStr">
        <is>
          <t>NORBERG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46139</v>
      </c>
      <c r="E83" s="1" t="n">
        <v>46225</v>
      </c>
      <c r="F83" t="inlineStr">
        <is>
          <t>VÄSTMANLANDS LÄN</t>
        </is>
      </c>
      <c r="G83" t="inlineStr">
        <is>
          <t>NORBERG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46225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37200-2023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46225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45598</v>
      </c>
      <c r="E86" s="1" t="n">
        <v>46225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46006</v>
      </c>
      <c r="E87" s="1" t="n">
        <v>46225</v>
      </c>
      <c r="F87" t="inlineStr">
        <is>
          <t>VÄSTMANLANDS LÄN</t>
        </is>
      </c>
      <c r="G87" t="inlineStr">
        <is>
          <t>NORBERG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44973</v>
      </c>
      <c r="E88" s="1" t="n">
        <v>46225</v>
      </c>
      <c r="F88" t="inlineStr">
        <is>
          <t>VÄSTMANLANDS LÄN</t>
        </is>
      </c>
      <c r="G88" t="inlineStr">
        <is>
          <t>NORBERG</t>
        </is>
      </c>
      <c r="H88" t="inlineStr">
        <is>
          <t>Övriga Aktiebolag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62883-2025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46225</v>
      </c>
      <c r="F89" t="inlineStr">
        <is>
          <t>VÄSTMANLANDS LÄN</t>
        </is>
      </c>
      <c r="G89" t="inlineStr">
        <is>
          <t>NORBERG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46225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62881-2025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46225</v>
      </c>
      <c r="F91" t="inlineStr">
        <is>
          <t>VÄSTMANLANDS LÄN</t>
        </is>
      </c>
      <c r="G91" t="inlineStr">
        <is>
          <t>NORBERG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46225</v>
      </c>
      <c r="F92" t="inlineStr">
        <is>
          <t>VÄSTMANLANDS LÄN</t>
        </is>
      </c>
      <c r="G92" t="inlineStr">
        <is>
          <t>NORBERG</t>
        </is>
      </c>
      <c r="I92" t="n">
        <v>22.8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46225</v>
      </c>
      <c r="F93" t="inlineStr">
        <is>
          <t>VÄSTMANLANDS LÄN</t>
        </is>
      </c>
      <c r="G93" t="inlineStr">
        <is>
          <t>NORBERG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46020</v>
      </c>
      <c r="E94" s="1" t="n">
        <v>46225</v>
      </c>
      <c r="F94" t="inlineStr">
        <is>
          <t>VÄSTMANLANDS LÄN</t>
        </is>
      </c>
      <c r="G94" t="inlineStr">
        <is>
          <t>NORBERG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20968-2026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46142</v>
      </c>
      <c r="E95" s="1" t="n">
        <v>46225</v>
      </c>
      <c r="F95" t="inlineStr">
        <is>
          <t>VÄSTMANLANDS LÄN</t>
        </is>
      </c>
      <c r="G95" t="inlineStr">
        <is>
          <t>NORBERG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21218-2026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46146</v>
      </c>
      <c r="E96" s="1" t="n">
        <v>46225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45613</v>
      </c>
      <c r="E97" s="1" t="n">
        <v>46225</v>
      </c>
      <c r="F97" t="inlineStr">
        <is>
          <t>VÄSTMANLANDS LÄN</t>
        </is>
      </c>
      <c r="G97" t="inlineStr">
        <is>
          <t>NORBERG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45607</v>
      </c>
      <c r="E98" s="1" t="n">
        <v>46225</v>
      </c>
      <c r="F98" t="inlineStr">
        <is>
          <t>VÄSTMANLANDS LÄN</t>
        </is>
      </c>
      <c r="G98" t="inlineStr">
        <is>
          <t>NORBERG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46148</v>
      </c>
      <c r="E99" s="1" t="n">
        <v>46225</v>
      </c>
      <c r="F99" t="inlineStr">
        <is>
          <t>VÄSTMANLANDS LÄN</t>
        </is>
      </c>
      <c r="G99" t="inlineStr">
        <is>
          <t>NORBERG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45363</v>
      </c>
      <c r="E100" s="1" t="n">
        <v>46225</v>
      </c>
      <c r="F100" t="inlineStr">
        <is>
          <t>VÄSTMANLANDS LÄN</t>
        </is>
      </c>
      <c r="G100" t="inlineStr">
        <is>
          <t>NORBERG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46190</v>
      </c>
      <c r="E101" s="1" t="n">
        <v>46225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46148</v>
      </c>
      <c r="E102" s="1" t="n">
        <v>46225</v>
      </c>
      <c r="F102" t="inlineStr">
        <is>
          <t>VÄSTMANLANDS LÄN</t>
        </is>
      </c>
      <c r="G102" t="inlineStr">
        <is>
          <t>NORBERG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46189</v>
      </c>
      <c r="E103" s="1" t="n">
        <v>46225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46149</v>
      </c>
      <c r="E104" s="1" t="n">
        <v>46225</v>
      </c>
      <c r="F104" t="inlineStr">
        <is>
          <t>VÄSTMANLANDS LÄN</t>
        </is>
      </c>
      <c r="G104" t="inlineStr">
        <is>
          <t>NORBERG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46225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46225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46225</v>
      </c>
      <c r="F107" t="inlineStr">
        <is>
          <t>VÄSTMANLANDS LÄN</t>
        </is>
      </c>
      <c r="G107" t="inlineStr">
        <is>
          <t>NORBERG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21976-2026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46225</v>
      </c>
      <c r="F108" t="inlineStr">
        <is>
          <t>VÄSTMANLANDS LÄN</t>
        </is>
      </c>
      <c r="G108" t="inlineStr">
        <is>
          <t>NORBERG</t>
        </is>
      </c>
      <c r="H108" t="inlineStr">
        <is>
          <t>Övriga Aktiebolag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21983-2026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46225</v>
      </c>
      <c r="F109" t="inlineStr">
        <is>
          <t>VÄSTMANLANDS LÄN</t>
        </is>
      </c>
      <c r="G109" t="inlineStr">
        <is>
          <t>NORBERG</t>
        </is>
      </c>
      <c r="H109" t="inlineStr">
        <is>
          <t>Övriga Aktiebolag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46225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46189</v>
      </c>
      <c r="E111" s="1" t="n">
        <v>46225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13.7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57993-2024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46225</v>
      </c>
      <c r="F112" t="inlineStr">
        <is>
          <t>VÄSTMANLANDS LÄN</t>
        </is>
      </c>
      <c r="G112" t="inlineStr">
        <is>
          <t>NORBERG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46225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46225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46225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46225</v>
      </c>
      <c r="F116" t="inlineStr">
        <is>
          <t>VÄSTMANLANDS LÄN</t>
        </is>
      </c>
      <c r="G116" t="inlineStr">
        <is>
          <t>NORBERG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56400-2025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45974</v>
      </c>
      <c r="E117" s="1" t="n">
        <v>46225</v>
      </c>
      <c r="F117" t="inlineStr">
        <is>
          <t>VÄSTMANLANDS LÄN</t>
        </is>
      </c>
      <c r="G117" t="inlineStr">
        <is>
          <t>NORBERG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73797-2021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44552</v>
      </c>
      <c r="E118" s="1" t="n">
        <v>46225</v>
      </c>
      <c r="F118" t="inlineStr">
        <is>
          <t>VÄSTMANLANDS LÄN</t>
        </is>
      </c>
      <c r="G118" t="inlineStr">
        <is>
          <t>NORBERG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45155</v>
      </c>
      <c r="E119" s="1" t="n">
        <v>46225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45200</v>
      </c>
      <c r="E120" s="1" t="n">
        <v>46225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45764</v>
      </c>
      <c r="E121" s="1" t="n">
        <v>46225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46225</v>
      </c>
      <c r="F122" t="inlineStr">
        <is>
          <t>VÄSTMANLANDS LÄN</t>
        </is>
      </c>
      <c r="G122" t="inlineStr">
        <is>
          <t>NORBERG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46225</v>
      </c>
      <c r="F123" t="inlineStr">
        <is>
          <t>VÄSTMANLANDS LÄN</t>
        </is>
      </c>
      <c r="G123" t="inlineStr">
        <is>
          <t>NORBERG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45537</v>
      </c>
      <c r="E124" s="1" t="n">
        <v>46225</v>
      </c>
      <c r="F124" t="inlineStr">
        <is>
          <t>VÄSTMANLANDS LÄN</t>
        </is>
      </c>
      <c r="G124" t="inlineStr">
        <is>
          <t>NORBERG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46176</v>
      </c>
      <c r="E125" s="1" t="n">
        <v>46225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44852</v>
      </c>
      <c r="E126" s="1" t="n">
        <v>46225</v>
      </c>
      <c r="F126" t="inlineStr">
        <is>
          <t>VÄSTMANLANDS LÄN</t>
        </is>
      </c>
      <c r="G126" t="inlineStr">
        <is>
          <t>NORBERG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46225</v>
      </c>
      <c r="F127" t="inlineStr">
        <is>
          <t>VÄSTMANLANDS LÄN</t>
        </is>
      </c>
      <c r="G127" t="inlineStr">
        <is>
          <t>NORBERG</t>
        </is>
      </c>
      <c r="H127" t="inlineStr">
        <is>
          <t>Bergvik skog väst AB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25540-2023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45089</v>
      </c>
      <c r="E128" s="1" t="n">
        <v>46225</v>
      </c>
      <c r="F128" t="inlineStr">
        <is>
          <t>VÄSTMANLANDS LÄN</t>
        </is>
      </c>
      <c r="G128" t="inlineStr">
        <is>
          <t>NORBERG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46223</v>
      </c>
      <c r="E129" s="1" t="n">
        <v>46225</v>
      </c>
      <c r="F129" t="inlineStr">
        <is>
          <t>VÄSTMANLANDS LÄN</t>
        </is>
      </c>
      <c r="G129" t="inlineStr">
        <is>
          <t>NORBERG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44992</v>
      </c>
      <c r="E130" s="1" t="n">
        <v>46225</v>
      </c>
      <c r="F130" t="inlineStr">
        <is>
          <t>VÄSTMANLANDS LÄN</t>
        </is>
      </c>
      <c r="G130" t="inlineStr">
        <is>
          <t>NORBERG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46225</v>
      </c>
      <c r="F131" t="inlineStr">
        <is>
          <t>VÄSTMANLANDS LÄN</t>
        </is>
      </c>
      <c r="G131" t="inlineStr">
        <is>
          <t>NORBERG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46225</v>
      </c>
      <c r="F132" t="inlineStr">
        <is>
          <t>VÄSTMANLANDS LÄN</t>
        </is>
      </c>
      <c r="G132" t="inlineStr">
        <is>
          <t>NORBERG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45028</v>
      </c>
      <c r="E133" s="1" t="n">
        <v>46225</v>
      </c>
      <c r="F133" t="inlineStr">
        <is>
          <t>VÄSTMANLANDS LÄN</t>
        </is>
      </c>
      <c r="G133" t="inlineStr">
        <is>
          <t>NORBERG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46225</v>
      </c>
      <c r="F134" t="inlineStr">
        <is>
          <t>VÄSTMANLANDS LÄN</t>
        </is>
      </c>
      <c r="G134" t="inlineStr">
        <is>
          <t>NORBERG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46225</v>
      </c>
      <c r="F135" t="inlineStr">
        <is>
          <t>VÄSTMANLANDS LÄN</t>
        </is>
      </c>
      <c r="G135" t="inlineStr">
        <is>
          <t>NORBERG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46225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45121</v>
      </c>
      <c r="E137" s="1" t="n">
        <v>46225</v>
      </c>
      <c r="F137" t="inlineStr">
        <is>
          <t>VÄSTMANLANDS LÄN</t>
        </is>
      </c>
      <c r="G137" t="inlineStr">
        <is>
          <t>NORBERG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44628</v>
      </c>
      <c r="E138" s="1" t="n">
        <v>46225</v>
      </c>
      <c r="F138" t="inlineStr">
        <is>
          <t>VÄSTMANLANDS LÄN</t>
        </is>
      </c>
      <c r="G138" t="inlineStr">
        <is>
          <t>NORBERG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46225</v>
      </c>
      <c r="F139" t="inlineStr">
        <is>
          <t>VÄSTMANLANDS LÄN</t>
        </is>
      </c>
      <c r="G139" t="inlineStr">
        <is>
          <t>NORBERG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46225</v>
      </c>
      <c r="F140" t="inlineStr">
        <is>
          <t>VÄSTMANLANDS LÄN</t>
        </is>
      </c>
      <c r="G140" t="inlineStr">
        <is>
          <t>NORBERG</t>
        </is>
      </c>
      <c r="H140" t="inlineStr">
        <is>
          <t>Bergvik skog väst AB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46225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46225</v>
      </c>
      <c r="F142" t="inlineStr">
        <is>
          <t>VÄSTMANLANDS LÄN</t>
        </is>
      </c>
      <c r="G142" t="inlineStr">
        <is>
          <t>NORBERG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16503-2024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45408</v>
      </c>
      <c r="E143" s="1" t="n">
        <v>46225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46225</v>
      </c>
      <c r="F144" t="inlineStr">
        <is>
          <t>VÄSTMANLANDS LÄN</t>
        </is>
      </c>
      <c r="G144" t="inlineStr">
        <is>
          <t>NORBERG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46225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46225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46225</v>
      </c>
      <c r="F147" t="inlineStr">
        <is>
          <t>VÄSTMANLANDS LÄN</t>
        </is>
      </c>
      <c r="G147" t="inlineStr">
        <is>
          <t>NORBERG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46225</v>
      </c>
      <c r="F148" t="inlineStr">
        <is>
          <t>VÄSTMANLANDS LÄN</t>
        </is>
      </c>
      <c r="G148" t="inlineStr">
        <is>
          <t>NORBERG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53030-2023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46225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45730</v>
      </c>
      <c r="E150" s="1" t="n">
        <v>46225</v>
      </c>
      <c r="F150" t="inlineStr">
        <is>
          <t>VÄSTMANLANDS LÄN</t>
        </is>
      </c>
      <c r="G150" t="inlineStr">
        <is>
          <t>NORBERG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46225</v>
      </c>
      <c r="F151" t="inlineStr">
        <is>
          <t>VÄSTMANLANDS LÄN</t>
        </is>
      </c>
      <c r="G151" t="inlineStr">
        <is>
          <t>NORBERG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46225</v>
      </c>
      <c r="F152" t="inlineStr">
        <is>
          <t>VÄSTMANLANDS LÄN</t>
        </is>
      </c>
      <c r="G152" t="inlineStr">
        <is>
          <t>NORBERG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63505-2023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45274</v>
      </c>
      <c r="E153" s="1" t="n">
        <v>46225</v>
      </c>
      <c r="F153" t="inlineStr">
        <is>
          <t>VÄSTMANLANDS LÄN</t>
        </is>
      </c>
      <c r="G153" t="inlineStr">
        <is>
          <t>NORBERG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46225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46225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46225</v>
      </c>
      <c r="F156" t="inlineStr">
        <is>
          <t>VÄSTMANLANDS LÄN</t>
        </is>
      </c>
      <c r="G156" t="inlineStr">
        <is>
          <t>NORBERG</t>
        </is>
      </c>
      <c r="I156" t="n">
        <v>22.4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46225</v>
      </c>
      <c r="F157" t="inlineStr">
        <is>
          <t>VÄSTMANLANDS LÄN</t>
        </is>
      </c>
      <c r="G157" t="inlineStr">
        <is>
          <t>NORBERG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46225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46225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45056</v>
      </c>
      <c r="E160" s="1" t="n">
        <v>46225</v>
      </c>
      <c r="F160" t="inlineStr">
        <is>
          <t>VÄSTMANLANDS LÄN</t>
        </is>
      </c>
      <c r="G160" t="inlineStr">
        <is>
          <t>NORBERG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46225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45454</v>
      </c>
      <c r="E162" s="1" t="n">
        <v>46225</v>
      </c>
      <c r="F162" t="inlineStr">
        <is>
          <t>VÄSTMANLANDS LÄN</t>
        </is>
      </c>
      <c r="G162" t="inlineStr">
        <is>
          <t>NORBERG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46225</v>
      </c>
      <c r="F163" t="inlineStr">
        <is>
          <t>VÄSTMANLANDS LÄN</t>
        </is>
      </c>
      <c r="G163" t="inlineStr">
        <is>
          <t>NORBERG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44727</v>
      </c>
      <c r="E164" s="1" t="n">
        <v>46225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45588</v>
      </c>
      <c r="E165" s="1" t="n">
        <v>46225</v>
      </c>
      <c r="F165" t="inlineStr">
        <is>
          <t>VÄSTMANLANDS LÄN</t>
        </is>
      </c>
      <c r="G165" t="inlineStr">
        <is>
          <t>NORBERG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45179</v>
      </c>
      <c r="E166" s="1" t="n">
        <v>46225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51790-2024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45607</v>
      </c>
      <c r="E167" s="1" t="n">
        <v>46225</v>
      </c>
      <c r="F167" t="inlineStr">
        <is>
          <t>VÄSTMANLANDS LÄN</t>
        </is>
      </c>
      <c r="G167" t="inlineStr">
        <is>
          <t>NORBERG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19377-2025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45769</v>
      </c>
      <c r="E168" s="1" t="n">
        <v>46225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46225</v>
      </c>
      <c r="F169" t="inlineStr">
        <is>
          <t>VÄSTMANLANDS LÄN</t>
        </is>
      </c>
      <c r="G169" t="inlineStr">
        <is>
          <t>NORBERG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45567</v>
      </c>
      <c r="E170" s="1" t="n">
        <v>46225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46225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44691</v>
      </c>
      <c r="E172" s="1" t="n">
        <v>46225</v>
      </c>
      <c r="F172" t="inlineStr">
        <is>
          <t>VÄSTMANLANDS LÄN</t>
        </is>
      </c>
      <c r="G172" t="inlineStr">
        <is>
          <t>NORBERG</t>
        </is>
      </c>
      <c r="H172" t="inlineStr">
        <is>
          <t>Övriga Aktiebolag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46225</v>
      </c>
      <c r="F173" t="inlineStr">
        <is>
          <t>VÄSTMANLANDS LÄN</t>
        </is>
      </c>
      <c r="G173" t="inlineStr">
        <is>
          <t>NORBERG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45586</v>
      </c>
      <c r="E174" s="1" t="n">
        <v>46225</v>
      </c>
      <c r="F174" t="inlineStr">
        <is>
          <t>VÄSTMANLANDS LÄN</t>
        </is>
      </c>
      <c r="G174" t="inlineStr">
        <is>
          <t>NORBERG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46225</v>
      </c>
      <c r="F175" t="inlineStr">
        <is>
          <t>VÄSTMANLANDS LÄN</t>
        </is>
      </c>
      <c r="G175" t="inlineStr">
        <is>
          <t>NORBERG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45034</v>
      </c>
      <c r="E176" s="1" t="n">
        <v>46225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46225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46225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46225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46225</v>
      </c>
      <c r="F180" t="inlineStr">
        <is>
          <t>VÄSTMANLANDS LÄN</t>
        </is>
      </c>
      <c r="G180" t="inlineStr">
        <is>
          <t>NORBERG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46225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46225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45274</v>
      </c>
      <c r="E183" s="1" t="n">
        <v>46225</v>
      </c>
      <c r="F183" t="inlineStr">
        <is>
          <t>VÄSTMANLANDS LÄN</t>
        </is>
      </c>
      <c r="G183" t="inlineStr">
        <is>
          <t>NORBERG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46225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46225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46225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2026-07-22T01:39:54Z</dcterms:created>
  <dcterms:modified xmlns:dcterms="http://purl.org/dc/terms/" xmlns:xsi="http://www.w3.org/2001/XMLSchema-instance" xsi:type="dcterms:W3CDTF">2026-07-22T01:39:55Z</dcterms:modified>
</cp:coreProperties>
</file>