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46227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46227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33377-2023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45128</v>
      </c>
      <c r="E5" s="1" t="n">
        <v>46227</v>
      </c>
      <c r="F5" t="inlineStr">
        <is>
          <t>VÄSTMANLANDS LÄN</t>
        </is>
      </c>
      <c r="G5" t="inlineStr">
        <is>
          <t>NORBERG</t>
        </is>
      </c>
      <c r="H5" t="inlineStr">
        <is>
          <t>Sveaskog</t>
        </is>
      </c>
      <c r="I5" t="n">
        <v>1.7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Gul taggsvamp
Dofttaggsvamp</t>
        </is>
      </c>
      <c r="W5">
        <f>HYPERLINK("https://klasma.github.io/Logging_1962/artfynd/A 33377-2023 artfynd.xlsx", "A 33377-2023")</f>
        <v/>
      </c>
      <c r="X5">
        <f>HYPERLINK("https://klasma.github.io/Logging_1962/kartor/A 33377-2023 karta.png", "A 33377-2023")</f>
        <v/>
      </c>
      <c r="Y5">
        <f>HYPERLINK("https://klasma.github.io/Logging_1962/kartor_geotiff/A 33377-2023 georefererad karta.tif", "A 33377-2023")</f>
        <v/>
      </c>
      <c r="AA5">
        <f>HYPERLINK("https://klasma.github.io/Logging_1962/klagomål/A 33377-2023 FSC-klagomål.docx", "A 33377-2023")</f>
        <v/>
      </c>
      <c r="AB5">
        <f>HYPERLINK("https://klasma.github.io/Logging_1962/klagomålsmail/A 33377-2023 FSC-klagomål mail.docx", "A 33377-2023")</f>
        <v/>
      </c>
      <c r="AC5">
        <f>HYPERLINK("https://klasma.github.io/Logging_1962/tillsyn/A 33377-2023 tillsynsbegäran.docx", "A 33377-2023")</f>
        <v/>
      </c>
      <c r="AD5">
        <f>HYPERLINK("https://klasma.github.io/Logging_1962/tillsynsmail/A 33377-2023 tillsynsbegäran mail.docx", "A 33377-2023")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46227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46227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46227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46227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46227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46227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46227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46227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46227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46227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46227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46227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46227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46227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46227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46227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46227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46227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46227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46227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46227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46227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46227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46227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46227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46227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46227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46227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46227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46227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46227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46227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46227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46227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67356-2021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46227</v>
      </c>
      <c r="F44" t="inlineStr">
        <is>
          <t>VÄSTMANLANDS LÄN</t>
        </is>
      </c>
      <c r="G44" t="inlineStr">
        <is>
          <t>NORBERG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45034</v>
      </c>
      <c r="E45" s="1" t="n">
        <v>46227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46227</v>
      </c>
      <c r="F46" t="inlineStr">
        <is>
          <t>VÄSTMANLANDS LÄN</t>
        </is>
      </c>
      <c r="G46" t="inlineStr">
        <is>
          <t>NORBERG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27589-2024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45474</v>
      </c>
      <c r="E47" s="1" t="n">
        <v>46227</v>
      </c>
      <c r="F47" t="inlineStr">
        <is>
          <t>VÄSTMANLANDS LÄN</t>
        </is>
      </c>
      <c r="G47" t="inlineStr">
        <is>
          <t>NORBERG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45065-2023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46227</v>
      </c>
      <c r="F48" t="inlineStr">
        <is>
          <t>VÄSTMANLANDS LÄN</t>
        </is>
      </c>
      <c r="G48" t="inlineStr">
        <is>
          <t>NORBERG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46227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46227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13654-2024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46227</v>
      </c>
      <c r="F51" t="inlineStr">
        <is>
          <t>VÄSTMANLANDS LÄN</t>
        </is>
      </c>
      <c r="G51" t="inlineStr">
        <is>
          <t>NORBERG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45320</v>
      </c>
      <c r="E52" s="1" t="n">
        <v>46227</v>
      </c>
      <c r="F52" t="inlineStr">
        <is>
          <t>VÄSTMANLANDS LÄN</t>
        </is>
      </c>
      <c r="G52" t="inlineStr">
        <is>
          <t>NORBERG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46227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23433-2025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46227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36905-2023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45154</v>
      </c>
      <c r="E55" s="1" t="n">
        <v>46227</v>
      </c>
      <c r="F55" t="inlineStr">
        <is>
          <t>VÄSTMANLANDS LÄN</t>
        </is>
      </c>
      <c r="G55" t="inlineStr">
        <is>
          <t>NORBERG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45169</v>
      </c>
      <c r="E56" s="1" t="n">
        <v>46227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46227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46227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46227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9.300000000000001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46227</v>
      </c>
      <c r="F60" t="inlineStr">
        <is>
          <t>VÄSTMANLANDS LÄN</t>
        </is>
      </c>
      <c r="G60" t="inlineStr">
        <is>
          <t>NORBERG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25477-2023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46227</v>
      </c>
      <c r="F61" t="inlineStr">
        <is>
          <t>VÄSTMANLANDS LÄN</t>
        </is>
      </c>
      <c r="G61" t="inlineStr">
        <is>
          <t>NORBERG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20378-2023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45056</v>
      </c>
      <c r="E62" s="1" t="n">
        <v>46227</v>
      </c>
      <c r="F62" t="inlineStr">
        <is>
          <t>VÄSTMANLANDS LÄN</t>
        </is>
      </c>
      <c r="G62" t="inlineStr">
        <is>
          <t>NORBERG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45408</v>
      </c>
      <c r="E63" s="1" t="n">
        <v>46227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46227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46227</v>
      </c>
      <c r="F65" t="inlineStr">
        <is>
          <t>VÄSTMANLANDS LÄN</t>
        </is>
      </c>
      <c r="G65" t="inlineStr">
        <is>
          <t>NORBERG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46227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46227</v>
      </c>
      <c r="F67" t="inlineStr">
        <is>
          <t>VÄSTMANLANDS LÄN</t>
        </is>
      </c>
      <c r="G67" t="inlineStr">
        <is>
          <t>NORBERG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46227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46227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45989</v>
      </c>
      <c r="E70" s="1" t="n">
        <v>46227</v>
      </c>
      <c r="F70" t="inlineStr">
        <is>
          <t>VÄSTMANLANDS LÄN</t>
        </is>
      </c>
      <c r="G70" t="inlineStr">
        <is>
          <t>NORBERG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46227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46227</v>
      </c>
      <c r="F72" t="inlineStr">
        <is>
          <t>VÄSTMANLANDS LÄN</t>
        </is>
      </c>
      <c r="G72" t="inlineStr">
        <is>
          <t>NORBERG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45613</v>
      </c>
      <c r="E73" s="1" t="n">
        <v>46227</v>
      </c>
      <c r="F73" t="inlineStr">
        <is>
          <t>VÄSTMANLANDS LÄN</t>
        </is>
      </c>
      <c r="G73" t="inlineStr">
        <is>
          <t>NORBERG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46227</v>
      </c>
      <c r="F74" t="inlineStr">
        <is>
          <t>VÄSTMANLANDS LÄN</t>
        </is>
      </c>
      <c r="G74" t="inlineStr">
        <is>
          <t>NORBERG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45363</v>
      </c>
      <c r="E75" s="1" t="n">
        <v>46227</v>
      </c>
      <c r="F75" t="inlineStr">
        <is>
          <t>VÄSTMANLANDS LÄN</t>
        </is>
      </c>
      <c r="G75" t="inlineStr">
        <is>
          <t>NORBERG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46227</v>
      </c>
      <c r="F76" t="inlineStr">
        <is>
          <t>VÄSTMANLANDS LÄN</t>
        </is>
      </c>
      <c r="G76" t="inlineStr">
        <is>
          <t>NORBERG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46227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46227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46227</v>
      </c>
      <c r="F79" t="inlineStr">
        <is>
          <t>VÄSTMANLANDS LÄN</t>
        </is>
      </c>
      <c r="G79" t="inlineStr">
        <is>
          <t>NORBERG</t>
        </is>
      </c>
      <c r="I79" t="n">
        <v>6.3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62882-2025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46227</v>
      </c>
      <c r="F80" t="inlineStr">
        <is>
          <t>VÄSTMANLANDS LÄN</t>
        </is>
      </c>
      <c r="G80" t="inlineStr">
        <is>
          <t>NORBERG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46227</v>
      </c>
      <c r="F81" t="inlineStr">
        <is>
          <t>VÄSTMANLANDS LÄN</t>
        </is>
      </c>
      <c r="G81" t="inlineStr">
        <is>
          <t>NORBERG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46014</v>
      </c>
      <c r="E82" s="1" t="n">
        <v>46227</v>
      </c>
      <c r="F82" t="inlineStr">
        <is>
          <t>VÄSTMANLANDS LÄN</t>
        </is>
      </c>
      <c r="G82" t="inlineStr">
        <is>
          <t>NORBERG</t>
        </is>
      </c>
      <c r="I82" t="n">
        <v>22.8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46014</v>
      </c>
      <c r="E83" s="1" t="n">
        <v>46227</v>
      </c>
      <c r="F83" t="inlineStr">
        <is>
          <t>VÄSTMANLANDS LÄN</t>
        </is>
      </c>
      <c r="G83" t="inlineStr">
        <is>
          <t>NORBERG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46227</v>
      </c>
      <c r="F84" t="inlineStr">
        <is>
          <t>VÄSTMANLANDS LÄN</t>
        </is>
      </c>
      <c r="G84" t="inlineStr">
        <is>
          <t>NORBERG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46227</v>
      </c>
      <c r="F85" t="inlineStr">
        <is>
          <t>VÄSTMANLANDS LÄN</t>
        </is>
      </c>
      <c r="G85" t="inlineStr">
        <is>
          <t>NORBERG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45169</v>
      </c>
      <c r="E86" s="1" t="n">
        <v>46227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46227</v>
      </c>
      <c r="F87" t="inlineStr">
        <is>
          <t>VÄSTMANLANDS LÄN</t>
        </is>
      </c>
      <c r="G87" t="inlineStr">
        <is>
          <t>NORBERG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46227</v>
      </c>
      <c r="F88" t="inlineStr">
        <is>
          <t>VÄSTMANLANDS LÄN</t>
        </is>
      </c>
      <c r="G88" t="inlineStr">
        <is>
          <t>NORBERG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46227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73797-2021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44552</v>
      </c>
      <c r="E90" s="1" t="n">
        <v>46227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46227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46227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46227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46227</v>
      </c>
      <c r="F94" t="inlineStr">
        <is>
          <t>VÄSTMANLANDS LÄN</t>
        </is>
      </c>
      <c r="G94" t="inlineStr">
        <is>
          <t>NORBERG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45474</v>
      </c>
      <c r="E95" s="1" t="n">
        <v>46227</v>
      </c>
      <c r="F95" t="inlineStr">
        <is>
          <t>VÄSTMANLANDS LÄN</t>
        </is>
      </c>
      <c r="G95" t="inlineStr">
        <is>
          <t>NORBERG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60339-2025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45994</v>
      </c>
      <c r="E96" s="1" t="n">
        <v>46227</v>
      </c>
      <c r="F96" t="inlineStr">
        <is>
          <t>VÄSTMANLANDS LÄN</t>
        </is>
      </c>
      <c r="G96" t="inlineStr">
        <is>
          <t>NORBERG</t>
        </is>
      </c>
      <c r="H96" t="inlineStr">
        <is>
          <t>Kommuner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46227</v>
      </c>
      <c r="F97" t="inlineStr">
        <is>
          <t>VÄSTMANLANDS LÄN</t>
        </is>
      </c>
      <c r="G97" t="inlineStr">
        <is>
          <t>NORBERG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46227</v>
      </c>
      <c r="F98" t="inlineStr">
        <is>
          <t>VÄSTMANLANDS LÄN</t>
        </is>
      </c>
      <c r="G98" t="inlineStr">
        <is>
          <t>NORBERG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46227</v>
      </c>
      <c r="F99" t="inlineStr">
        <is>
          <t>VÄSTMANLANDS LÄN</t>
        </is>
      </c>
      <c r="G99" t="inlineStr">
        <is>
          <t>NORBERG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46227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46227</v>
      </c>
      <c r="F101" t="inlineStr">
        <is>
          <t>VÄSTMANLANDS LÄN</t>
        </is>
      </c>
      <c r="G101" t="inlineStr">
        <is>
          <t>NORBERG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46227</v>
      </c>
      <c r="F102" t="inlineStr">
        <is>
          <t>VÄSTMANLANDS LÄN</t>
        </is>
      </c>
      <c r="G102" t="inlineStr">
        <is>
          <t>NORBERG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46227</v>
      </c>
      <c r="F103" t="inlineStr">
        <is>
          <t>VÄSTMANLANDS LÄN</t>
        </is>
      </c>
      <c r="G103" t="inlineStr">
        <is>
          <t>NORBERG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46099</v>
      </c>
      <c r="E104" s="1" t="n">
        <v>46227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46227</v>
      </c>
      <c r="F105" t="inlineStr">
        <is>
          <t>VÄSTMANLANDS LÄN</t>
        </is>
      </c>
      <c r="G105" t="inlineStr">
        <is>
          <t>NORBERG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46105</v>
      </c>
      <c r="E106" s="1" t="n">
        <v>46227</v>
      </c>
      <c r="F106" t="inlineStr">
        <is>
          <t>VÄSTMANLANDS LÄN</t>
        </is>
      </c>
      <c r="G106" t="inlineStr">
        <is>
          <t>NORBERG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46105</v>
      </c>
      <c r="E107" s="1" t="n">
        <v>46227</v>
      </c>
      <c r="F107" t="inlineStr">
        <is>
          <t>VÄSTMANLANDS LÄN</t>
        </is>
      </c>
      <c r="G107" t="inlineStr">
        <is>
          <t>NORBERG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46105</v>
      </c>
      <c r="E108" s="1" t="n">
        <v>46227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46227</v>
      </c>
      <c r="F109" t="inlineStr">
        <is>
          <t>VÄSTMANLANDS LÄN</t>
        </is>
      </c>
      <c r="G109" t="inlineStr">
        <is>
          <t>NORBERG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15981-2026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46108</v>
      </c>
      <c r="E110" s="1" t="n">
        <v>46227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46227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46113</v>
      </c>
      <c r="E112" s="1" t="n">
        <v>46227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46114</v>
      </c>
      <c r="E113" s="1" t="n">
        <v>46227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46227</v>
      </c>
      <c r="F114" t="inlineStr">
        <is>
          <t>VÄSTMANLANDS LÄN</t>
        </is>
      </c>
      <c r="G114" t="inlineStr">
        <is>
          <t>NORBERG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46227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45028</v>
      </c>
      <c r="E116" s="1" t="n">
        <v>46227</v>
      </c>
      <c r="F116" t="inlineStr">
        <is>
          <t>VÄSTMANLANDS LÄN</t>
        </is>
      </c>
      <c r="G116" t="inlineStr">
        <is>
          <t>NORBERG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46227</v>
      </c>
      <c r="F117" t="inlineStr">
        <is>
          <t>VÄSTMANLANDS LÄN</t>
        </is>
      </c>
      <c r="G117" t="inlineStr">
        <is>
          <t>NORBERG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46227</v>
      </c>
      <c r="F118" t="inlineStr">
        <is>
          <t>VÄSTMANLANDS LÄN</t>
        </is>
      </c>
      <c r="G118" t="inlineStr">
        <is>
          <t>NORBERG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46227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45121</v>
      </c>
      <c r="E120" s="1" t="n">
        <v>46227</v>
      </c>
      <c r="F120" t="inlineStr">
        <is>
          <t>VÄSTMANLANDS LÄN</t>
        </is>
      </c>
      <c r="G120" t="inlineStr">
        <is>
          <t>NORBERG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45091</v>
      </c>
      <c r="E121" s="1" t="n">
        <v>46227</v>
      </c>
      <c r="F121" t="inlineStr">
        <is>
          <t>VÄSTMANLANDS LÄN</t>
        </is>
      </c>
      <c r="G121" t="inlineStr">
        <is>
          <t>NORBERG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46227</v>
      </c>
      <c r="F122" t="inlineStr">
        <is>
          <t>VÄSTMANLANDS LÄN</t>
        </is>
      </c>
      <c r="G122" t="inlineStr">
        <is>
          <t>NORBERG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56940-2021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44480</v>
      </c>
      <c r="E123" s="1" t="n">
        <v>46227</v>
      </c>
      <c r="F123" t="inlineStr">
        <is>
          <t>VÄSTMANLANDS LÄN</t>
        </is>
      </c>
      <c r="G123" t="inlineStr">
        <is>
          <t>NORBERG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46227</v>
      </c>
      <c r="F124" t="inlineStr">
        <is>
          <t>VÄSTMANLANDS LÄN</t>
        </is>
      </c>
      <c r="G124" t="inlineStr">
        <is>
          <t>NORBERG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46019</v>
      </c>
      <c r="E125" s="1" t="n">
        <v>46227</v>
      </c>
      <c r="F125" t="inlineStr">
        <is>
          <t>VÄSTMANLANDS LÄN</t>
        </is>
      </c>
      <c r="G125" t="inlineStr">
        <is>
          <t>NORBERG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46227</v>
      </c>
      <c r="F126" t="inlineStr">
        <is>
          <t>VÄSTMANLANDS LÄN</t>
        </is>
      </c>
      <c r="G126" t="inlineStr">
        <is>
          <t>NORBERG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46139</v>
      </c>
      <c r="E127" s="1" t="n">
        <v>46227</v>
      </c>
      <c r="F127" t="inlineStr">
        <is>
          <t>VÄSTMANLANDS LÄN</t>
        </is>
      </c>
      <c r="G127" t="inlineStr">
        <is>
          <t>NORBERG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46227</v>
      </c>
      <c r="F128" t="inlineStr">
        <is>
          <t>VÄSTMANLANDS LÄN</t>
        </is>
      </c>
      <c r="G128" t="inlineStr">
        <is>
          <t>NORBERG</t>
        </is>
      </c>
      <c r="H128" t="inlineStr">
        <is>
          <t>Bergvik skog väst AB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46227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45598</v>
      </c>
      <c r="E130" s="1" t="n">
        <v>46227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46227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46227</v>
      </c>
      <c r="F132" t="inlineStr">
        <is>
          <t>VÄSTMANLANDS LÄN</t>
        </is>
      </c>
      <c r="G132" t="inlineStr">
        <is>
          <t>NORBERG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46227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20968-2026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46142</v>
      </c>
      <c r="E134" s="1" t="n">
        <v>46227</v>
      </c>
      <c r="F134" t="inlineStr">
        <is>
          <t>VÄSTMANLANDS LÄN</t>
        </is>
      </c>
      <c r="G134" t="inlineStr">
        <is>
          <t>NORBERG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46227</v>
      </c>
      <c r="F135" t="inlineStr">
        <is>
          <t>VÄSTMANLANDS LÄN</t>
        </is>
      </c>
      <c r="G135" t="inlineStr">
        <is>
          <t>NORBERG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46227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46146</v>
      </c>
      <c r="E137" s="1" t="n">
        <v>46227</v>
      </c>
      <c r="F137" t="inlineStr">
        <is>
          <t>VÄSTMANLANDS LÄN</t>
        </is>
      </c>
      <c r="G137" t="inlineStr">
        <is>
          <t>NORBERG</t>
        </is>
      </c>
      <c r="H137" t="inlineStr">
        <is>
          <t>Bergvik skog väst AB</t>
        </is>
      </c>
      <c r="I137" t="n">
        <v>12.1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46227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46227</v>
      </c>
      <c r="F139" t="inlineStr">
        <is>
          <t>VÄSTMANLANDS LÄN</t>
        </is>
      </c>
      <c r="G139" t="inlineStr">
        <is>
          <t>NORBERG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46227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46227</v>
      </c>
      <c r="F141" t="inlineStr">
        <is>
          <t>VÄSTMANLANDS LÄN</t>
        </is>
      </c>
      <c r="G141" t="inlineStr">
        <is>
          <t>NORBERG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46227</v>
      </c>
      <c r="F142" t="inlineStr">
        <is>
          <t>VÄSTMANLANDS LÄN</t>
        </is>
      </c>
      <c r="G142" t="inlineStr">
        <is>
          <t>NORBERG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46227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46227</v>
      </c>
      <c r="F144" t="inlineStr">
        <is>
          <t>VÄSTMANLANDS LÄN</t>
        </is>
      </c>
      <c r="G144" t="inlineStr">
        <is>
          <t>NORBERG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46227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46227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44687</v>
      </c>
      <c r="E147" s="1" t="n">
        <v>46227</v>
      </c>
      <c r="F147" t="inlineStr">
        <is>
          <t>VÄSTMANLANDS LÄN</t>
        </is>
      </c>
      <c r="G147" t="inlineStr">
        <is>
          <t>NORBERG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46227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46227</v>
      </c>
      <c r="F149" t="inlineStr">
        <is>
          <t>VÄSTMANLANDS LÄN</t>
        </is>
      </c>
      <c r="G149" t="inlineStr">
        <is>
          <t>NORBERG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46227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46227</v>
      </c>
      <c r="F151" t="inlineStr">
        <is>
          <t>VÄSTMANLANDS LÄN</t>
        </is>
      </c>
      <c r="G151" t="inlineStr">
        <is>
          <t>NORBERG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46227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46227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46227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46227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46227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46227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45631</v>
      </c>
      <c r="E158" s="1" t="n">
        <v>46227</v>
      </c>
      <c r="F158" t="inlineStr">
        <is>
          <t>VÄSTMANLANDS LÄN</t>
        </is>
      </c>
      <c r="G158" t="inlineStr">
        <is>
          <t>NORBERG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63505-2023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45274</v>
      </c>
      <c r="E159" s="1" t="n">
        <v>46227</v>
      </c>
      <c r="F159" t="inlineStr">
        <is>
          <t>VÄSTMANLANDS LÄN</t>
        </is>
      </c>
      <c r="G159" t="inlineStr">
        <is>
          <t>NORBERG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46227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46227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46227</v>
      </c>
      <c r="F162" t="inlineStr">
        <is>
          <t>VÄSTMANLANDS LÄN</t>
        </is>
      </c>
      <c r="G162" t="inlineStr">
        <is>
          <t>NORBERG</t>
        </is>
      </c>
      <c r="I162" t="n">
        <v>22.4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56400-2025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45974</v>
      </c>
      <c r="E163" s="1" t="n">
        <v>46227</v>
      </c>
      <c r="F163" t="inlineStr">
        <is>
          <t>VÄSTMANLANDS LÄN</t>
        </is>
      </c>
      <c r="G163" t="inlineStr">
        <is>
          <t>NORBERG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46227</v>
      </c>
      <c r="F164" t="inlineStr">
        <is>
          <t>VÄSTMANLANDS LÄN</t>
        </is>
      </c>
      <c r="G164" t="inlineStr">
        <is>
          <t>NORBERG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45200</v>
      </c>
      <c r="E165" s="1" t="n">
        <v>46227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46227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46227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45056</v>
      </c>
      <c r="E168" s="1" t="n">
        <v>46227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46227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46227</v>
      </c>
      <c r="F170" t="inlineStr">
        <is>
          <t>VÄSTMANLANDS LÄN</t>
        </is>
      </c>
      <c r="G170" t="inlineStr">
        <is>
          <t>NORBERG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46227</v>
      </c>
      <c r="F171" t="inlineStr">
        <is>
          <t>VÄSTMANLANDS LÄN</t>
        </is>
      </c>
      <c r="G171" t="inlineStr">
        <is>
          <t>NORBERG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46223</v>
      </c>
      <c r="E172" s="1" t="n">
        <v>46227</v>
      </c>
      <c r="F172" t="inlineStr">
        <is>
          <t>VÄSTMANLANDS LÄN</t>
        </is>
      </c>
      <c r="G172" t="inlineStr">
        <is>
          <t>NORBERG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24540-2022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46227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46227</v>
      </c>
      <c r="F174" t="inlineStr">
        <is>
          <t>VÄSTMANLANDS LÄN</t>
        </is>
      </c>
      <c r="G174" t="inlineStr">
        <is>
          <t>NORBERG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45179</v>
      </c>
      <c r="E175" s="1" t="n">
        <v>46227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51790-2024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45607</v>
      </c>
      <c r="E176" s="1" t="n">
        <v>46227</v>
      </c>
      <c r="F176" t="inlineStr">
        <is>
          <t>VÄSTMANLANDS LÄN</t>
        </is>
      </c>
      <c r="G176" t="inlineStr">
        <is>
          <t>NORBERG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19377-2025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45769</v>
      </c>
      <c r="E177" s="1" t="n">
        <v>46227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45316</v>
      </c>
      <c r="E178" s="1" t="n">
        <v>46227</v>
      </c>
      <c r="F178" t="inlineStr">
        <is>
          <t>VÄSTMANLANDS LÄN</t>
        </is>
      </c>
      <c r="G178" t="inlineStr">
        <is>
          <t>NORBERG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46227</v>
      </c>
      <c r="F179" t="inlineStr">
        <is>
          <t>VÄSTMANLANDS LÄN</t>
        </is>
      </c>
      <c r="G179" t="inlineStr">
        <is>
          <t>NORBERG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46227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46227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45729</v>
      </c>
      <c r="E182" s="1" t="n">
        <v>46227</v>
      </c>
      <c r="F182" t="inlineStr">
        <is>
          <t>VÄSTMANLANDS LÄN</t>
        </is>
      </c>
      <c r="G182" t="inlineStr">
        <is>
          <t>NORBERG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46227</v>
      </c>
      <c r="F183" t="inlineStr">
        <is>
          <t>VÄSTMANLANDS LÄN</t>
        </is>
      </c>
      <c r="G183" t="inlineStr">
        <is>
          <t>NORBERG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46227</v>
      </c>
      <c r="F184" t="inlineStr">
        <is>
          <t>VÄSTMANLANDS LÄN</t>
        </is>
      </c>
      <c r="G184" t="inlineStr">
        <is>
          <t>NORBERG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46227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46227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2026-07-24T01:50:06Z</dcterms:created>
  <dcterms:modified xmlns:dcterms="http://purl.org/dc/terms/" xmlns:xsi="http://www.w3.org/2001/XMLSchema-instance" xsi:type="dcterms:W3CDTF">2026-07-24T01:50:06Z</dcterms:modified>
</cp:coreProperties>
</file>