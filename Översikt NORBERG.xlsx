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46259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46259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46259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46259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46259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52063-2022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46259</v>
      </c>
      <c r="F11" t="inlineStr">
        <is>
          <t>VÄSTMANLANDS LÄN</t>
        </is>
      </c>
      <c r="G11" t="inlineStr">
        <is>
          <t>NORBERG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52063-2022 artfynd.xlsx", "A 52063-2022")</f>
        <v/>
      </c>
      <c r="X11">
        <f>HYPERLINK("https://klasma.github.io/Logging_1962/kartor/A 52063-2022 karta.png", "A 52063-2022")</f>
        <v/>
      </c>
      <c r="Y11">
        <f>HYPERLINK("https://klasma.github.io/Logging_1962/kartor_geotiff/A 52063-2022 georefererad karta.tif", "A 52063-2022")</f>
        <v/>
      </c>
      <c r="AA11">
        <f>HYPERLINK("https://klasma.github.io/Logging_1962/klagomål/A 52063-2022 FSC-klagomål.docx", "A 52063-2022")</f>
        <v/>
      </c>
      <c r="AB11">
        <f>HYPERLINK("https://klasma.github.io/Logging_1962/klagomålsmail/A 52063-2022 FSC-klagomål mail.docx", "A 52063-2022")</f>
        <v/>
      </c>
      <c r="AC11">
        <f>HYPERLINK("https://klasma.github.io/Logging_1962/tillsyn/A 52063-2022 tillsynsbegäran.docx", "A 52063-2022")</f>
        <v/>
      </c>
      <c r="AD11">
        <f>HYPERLINK("https://klasma.github.io/Logging_1962/tillsynsmail/A 52063-2022 tillsynsbegäran mail.docx", "A 52063-2022")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46259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15107-2025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46259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15107-2025 artfynd.xlsx", "A 15107-2025")</f>
        <v/>
      </c>
      <c r="X13">
        <f>HYPERLINK("https://klasma.github.io/Logging_1962/kartor/A 15107-2025 karta.png", "A 15107-2025")</f>
        <v/>
      </c>
      <c r="Y13">
        <f>HYPERLINK("https://klasma.github.io/Logging_1962/kartor_geotiff/A 15107-2025 georefererad karta.tif", "A 15107-2025")</f>
        <v/>
      </c>
      <c r="AA13">
        <f>HYPERLINK("https://klasma.github.io/Logging_1962/klagomål/A 15107-2025 FSC-klagomål.docx", "A 15107-2025")</f>
        <v/>
      </c>
      <c r="AB13">
        <f>HYPERLINK("https://klasma.github.io/Logging_1962/klagomålsmail/A 15107-2025 FSC-klagomål mail.docx", "A 15107-2025")</f>
        <v/>
      </c>
      <c r="AC13">
        <f>HYPERLINK("https://klasma.github.io/Logging_1962/tillsyn/A 15107-2025 tillsynsbegäran.docx", "A 15107-2025")</f>
        <v/>
      </c>
      <c r="AD13">
        <f>HYPERLINK("https://klasma.github.io/Logging_1962/tillsynsmail/A 15107-2025 tillsynsbegäran mail.docx", "A 15107-2025")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46259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46259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46259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46259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46259</v>
      </c>
      <c r="F19" t="inlineStr">
        <is>
          <t>VÄSTMANLANDS LÄN</t>
        </is>
      </c>
      <c r="G19" t="inlineStr">
        <is>
          <t>NORBERG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34230-2026 artfynd.xlsx", "A 34230-2026")</f>
        <v/>
      </c>
      <c r="X19">
        <f>HYPERLINK("https://klasma.github.io/Logging_1962/kartor/A 34230-2026 karta.png", "A 34230-2026")</f>
        <v/>
      </c>
      <c r="Y19">
        <f>HYPERLINK("https://klasma.github.io/Logging_1962/kartor_geotiff/A 34230-2026 georefererad karta.tif", "A 34230-2026")</f>
        <v/>
      </c>
      <c r="AA19">
        <f>HYPERLINK("https://klasma.github.io/Logging_1962/klagomål/A 34230-2026 FSC-klagomål.docx", "A 34230-2026")</f>
        <v/>
      </c>
      <c r="AB19">
        <f>HYPERLINK("https://klasma.github.io/Logging_1962/klagomålsmail/A 34230-2026 FSC-klagomål mail.docx", "A 34230-2026")</f>
        <v/>
      </c>
      <c r="AC19">
        <f>HYPERLINK("https://klasma.github.io/Logging_1962/tillsyn/A 34230-2026 tillsynsbegäran.docx", "A 34230-2026")</f>
        <v/>
      </c>
      <c r="AD19">
        <f>HYPERLINK("https://klasma.github.io/Logging_1962/tillsynsmail/A 34230-2026 tillsynsbegäran mail.docx", "A 34230-2026")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46259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46259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46259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46259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46259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46259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46259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46259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46259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46259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46259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46259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46259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46259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46259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46259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46259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46864-2023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45200</v>
      </c>
      <c r="E40" s="1" t="n">
        <v>46259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46259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46259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46259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46259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27580-2024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45474</v>
      </c>
      <c r="E45" s="1" t="n">
        <v>46259</v>
      </c>
      <c r="F45" t="inlineStr">
        <is>
          <t>VÄSTMANLANDS LÄN</t>
        </is>
      </c>
      <c r="G45" t="inlineStr">
        <is>
          <t>NORBERG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46259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46259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46259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46259</v>
      </c>
      <c r="F49" t="inlineStr">
        <is>
          <t>VÄSTMANLANDS LÄN</t>
        </is>
      </c>
      <c r="G49" t="inlineStr">
        <is>
          <t>NORBERG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28589-2023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46259</v>
      </c>
      <c r="F50" t="inlineStr">
        <is>
          <t>VÄSTMANLANDS LÄN</t>
        </is>
      </c>
      <c r="G50" t="inlineStr">
        <is>
          <t>NORBERG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46259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36443-2024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45537</v>
      </c>
      <c r="E52" s="1" t="n">
        <v>46259</v>
      </c>
      <c r="F52" t="inlineStr">
        <is>
          <t>VÄSTMANLANDS LÄN</t>
        </is>
      </c>
      <c r="G52" t="inlineStr">
        <is>
          <t>NORBERG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45474</v>
      </c>
      <c r="E53" s="1" t="n">
        <v>46259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46259</v>
      </c>
      <c r="F54" t="inlineStr">
        <is>
          <t>VÄSTMANLANDS LÄN</t>
        </is>
      </c>
      <c r="G54" t="inlineStr">
        <is>
          <t>NORBERG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45191</v>
      </c>
      <c r="E55" s="1" t="n">
        <v>46259</v>
      </c>
      <c r="F55" t="inlineStr">
        <is>
          <t>VÄSTMANLANDS LÄN</t>
        </is>
      </c>
      <c r="G55" t="inlineStr">
        <is>
          <t>NORBERG</t>
        </is>
      </c>
      <c r="H55" t="inlineStr">
        <is>
          <t>Bergvik skog väst AB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46259</v>
      </c>
      <c r="F56" t="inlineStr">
        <is>
          <t>VÄSTMANLANDS LÄN</t>
        </is>
      </c>
      <c r="G56" t="inlineStr">
        <is>
          <t>NORBERG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46259</v>
      </c>
      <c r="F57" t="inlineStr">
        <is>
          <t>VÄSTMANLANDS LÄN</t>
        </is>
      </c>
      <c r="G57" t="inlineStr">
        <is>
          <t>NORBERG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45320</v>
      </c>
      <c r="E58" s="1" t="n">
        <v>46259</v>
      </c>
      <c r="F58" t="inlineStr">
        <is>
          <t>VÄSTMANLANDS LÄN</t>
        </is>
      </c>
      <c r="G58" t="inlineStr">
        <is>
          <t>NORBERG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46259</v>
      </c>
      <c r="F59" t="inlineStr">
        <is>
          <t>VÄSTMANLANDS LÄN</t>
        </is>
      </c>
      <c r="G59" t="inlineStr">
        <is>
          <t>NORBERG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36905-2023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45154</v>
      </c>
      <c r="E60" s="1" t="n">
        <v>46259</v>
      </c>
      <c r="F60" t="inlineStr">
        <is>
          <t>VÄSTMANLANDS LÄN</t>
        </is>
      </c>
      <c r="G60" t="inlineStr">
        <is>
          <t>NORBERG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46259</v>
      </c>
      <c r="F61" t="inlineStr">
        <is>
          <t>VÄSTMANLANDS LÄN</t>
        </is>
      </c>
      <c r="G61" t="inlineStr">
        <is>
          <t>NORBERG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45169</v>
      </c>
      <c r="E62" s="1" t="n">
        <v>46259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45882</v>
      </c>
      <c r="E63" s="1" t="n">
        <v>46259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15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45882</v>
      </c>
      <c r="E64" s="1" t="n">
        <v>46259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46259</v>
      </c>
      <c r="F65" t="inlineStr">
        <is>
          <t>VÄSTMANLANDS LÄN</t>
        </is>
      </c>
      <c r="G65" t="inlineStr">
        <is>
          <t>NORBERG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46259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45028</v>
      </c>
      <c r="E67" s="1" t="n">
        <v>46259</v>
      </c>
      <c r="F67" t="inlineStr">
        <is>
          <t>VÄSTMANLANDS LÄN</t>
        </is>
      </c>
      <c r="G67" t="inlineStr">
        <is>
          <t>NORBERG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46259</v>
      </c>
      <c r="F68" t="inlineStr">
        <is>
          <t>VÄSTMANLANDS LÄN</t>
        </is>
      </c>
      <c r="G68" t="inlineStr">
        <is>
          <t>NORBERG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46259</v>
      </c>
      <c r="F69" t="inlineStr">
        <is>
          <t>VÄSTMANLANDS LÄN</t>
        </is>
      </c>
      <c r="G69" t="inlineStr">
        <is>
          <t>NORBERG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45567</v>
      </c>
      <c r="E70" s="1" t="n">
        <v>46259</v>
      </c>
      <c r="F70" t="inlineStr">
        <is>
          <t>VÄSTMANLANDS LÄN</t>
        </is>
      </c>
      <c r="G70" t="inlineStr">
        <is>
          <t>NORBERG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46259</v>
      </c>
      <c r="F71" t="inlineStr">
        <is>
          <t>VÄSTMANLANDS LÄN</t>
        </is>
      </c>
      <c r="G71" t="inlineStr">
        <is>
          <t>NORBERG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46259</v>
      </c>
      <c r="F72" t="inlineStr">
        <is>
          <t>VÄSTMANLANDS LÄN</t>
        </is>
      </c>
      <c r="G72" t="inlineStr">
        <is>
          <t>NORBERG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46259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20378-2023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45056</v>
      </c>
      <c r="E74" s="1" t="n">
        <v>46259</v>
      </c>
      <c r="F74" t="inlineStr">
        <is>
          <t>VÄSTMANLANDS LÄN</t>
        </is>
      </c>
      <c r="G74" t="inlineStr">
        <is>
          <t>NORBERG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46259</v>
      </c>
      <c r="F75" t="inlineStr">
        <is>
          <t>VÄSTMANLANDS LÄN</t>
        </is>
      </c>
      <c r="G75" t="inlineStr">
        <is>
          <t>NORBERG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46259</v>
      </c>
      <c r="F76" t="inlineStr">
        <is>
          <t>VÄSTMANLANDS LÄN</t>
        </is>
      </c>
      <c r="G76" t="inlineStr">
        <is>
          <t>NORBERG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46259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45408</v>
      </c>
      <c r="E78" s="1" t="n">
        <v>46259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15981-2026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46259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46259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46259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16897-2026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46113</v>
      </c>
      <c r="E82" s="1" t="n">
        <v>46259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17063-2026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46259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46259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45121</v>
      </c>
      <c r="E85" s="1" t="n">
        <v>46259</v>
      </c>
      <c r="F85" t="inlineStr">
        <is>
          <t>VÄSTMANLANDS LÄN</t>
        </is>
      </c>
      <c r="G85" t="inlineStr">
        <is>
          <t>NORBERG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46259</v>
      </c>
      <c r="F86" t="inlineStr">
        <is>
          <t>VÄSTMANLANDS LÄN</t>
        </is>
      </c>
      <c r="G86" t="inlineStr">
        <is>
          <t>NORBERG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46259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46259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46259</v>
      </c>
      <c r="F89" t="inlineStr">
        <is>
          <t>VÄSTMANLANDS LÄN</t>
        </is>
      </c>
      <c r="G89" t="inlineStr">
        <is>
          <t>NORBERG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46259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44973</v>
      </c>
      <c r="E91" s="1" t="n">
        <v>46259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46045-2023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45196</v>
      </c>
      <c r="E92" s="1" t="n">
        <v>46259</v>
      </c>
      <c r="F92" t="inlineStr">
        <is>
          <t>VÄSTMANLANDS LÄN</t>
        </is>
      </c>
      <c r="G92" t="inlineStr">
        <is>
          <t>NORBERG</t>
        </is>
      </c>
      <c r="H92" t="inlineStr">
        <is>
          <t>Bergvik skog väst AB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46259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46259</v>
      </c>
      <c r="F94" t="inlineStr">
        <is>
          <t>VÄSTMANLANDS LÄN</t>
        </is>
      </c>
      <c r="G94" t="inlineStr">
        <is>
          <t>NORBERG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45613</v>
      </c>
      <c r="E95" s="1" t="n">
        <v>46259</v>
      </c>
      <c r="F95" t="inlineStr">
        <is>
          <t>VÄSTMANLANDS LÄN</t>
        </is>
      </c>
      <c r="G95" t="inlineStr">
        <is>
          <t>NORBERG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46259</v>
      </c>
      <c r="F96" t="inlineStr">
        <is>
          <t>VÄSTMANLANDS LÄN</t>
        </is>
      </c>
      <c r="G96" t="inlineStr">
        <is>
          <t>NORBERG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46259</v>
      </c>
      <c r="F97" t="inlineStr">
        <is>
          <t>VÄSTMANLANDS LÄN</t>
        </is>
      </c>
      <c r="G97" t="inlineStr">
        <is>
          <t>NORBERG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45408</v>
      </c>
      <c r="E98" s="1" t="n">
        <v>46259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45091</v>
      </c>
      <c r="E99" s="1" t="n">
        <v>46259</v>
      </c>
      <c r="F99" t="inlineStr">
        <is>
          <t>VÄSTMANLANDS LÄN</t>
        </is>
      </c>
      <c r="G99" t="inlineStr">
        <is>
          <t>NORBERG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56940-2021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44480</v>
      </c>
      <c r="E100" s="1" t="n">
        <v>46259</v>
      </c>
      <c r="F100" t="inlineStr">
        <is>
          <t>VÄSTMANLANDS LÄN</t>
        </is>
      </c>
      <c r="G100" t="inlineStr">
        <is>
          <t>NORBERG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46019</v>
      </c>
      <c r="E101" s="1" t="n">
        <v>46259</v>
      </c>
      <c r="F101" t="inlineStr">
        <is>
          <t>VÄSTMANLANDS LÄN</t>
        </is>
      </c>
      <c r="G101" t="inlineStr">
        <is>
          <t>NORBERG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46259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46259</v>
      </c>
      <c r="F103" t="inlineStr">
        <is>
          <t>VÄSTMANLANDS LÄN</t>
        </is>
      </c>
      <c r="G103" t="inlineStr">
        <is>
          <t>NORBERG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46259</v>
      </c>
      <c r="F104" t="inlineStr">
        <is>
          <t>VÄSTMANLANDS LÄN</t>
        </is>
      </c>
      <c r="G104" t="inlineStr">
        <is>
          <t>NORBERG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46259</v>
      </c>
      <c r="F105" t="inlineStr">
        <is>
          <t>VÄSTMANLANDS LÄN</t>
        </is>
      </c>
      <c r="G105" t="inlineStr">
        <is>
          <t>NORBERG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46259</v>
      </c>
      <c r="F106" t="inlineStr">
        <is>
          <t>VÄSTMANLANDS LÄN</t>
        </is>
      </c>
      <c r="G106" t="inlineStr">
        <is>
          <t>NORBERG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46259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45169</v>
      </c>
      <c r="E108" s="1" t="n">
        <v>46259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46259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45155</v>
      </c>
      <c r="E110" s="1" t="n">
        <v>46259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46259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46259</v>
      </c>
      <c r="F112" t="inlineStr">
        <is>
          <t>VÄSTMANLANDS LÄN</t>
        </is>
      </c>
      <c r="G112" t="inlineStr">
        <is>
          <t>NORBERG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53030-2023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46259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46259</v>
      </c>
      <c r="F114" t="inlineStr">
        <is>
          <t>VÄSTMANLANDS LÄN</t>
        </is>
      </c>
      <c r="G114" t="inlineStr">
        <is>
          <t>NORBERG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46259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20968-2026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46142</v>
      </c>
      <c r="E116" s="1" t="n">
        <v>46259</v>
      </c>
      <c r="F116" t="inlineStr">
        <is>
          <t>VÄSTMANLANDS LÄN</t>
        </is>
      </c>
      <c r="G116" t="inlineStr">
        <is>
          <t>NORBERG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45049</v>
      </c>
      <c r="E117" s="1" t="n">
        <v>46259</v>
      </c>
      <c r="F117" t="inlineStr">
        <is>
          <t>VÄSTMANLANDS LÄN</t>
        </is>
      </c>
      <c r="G117" t="inlineStr">
        <is>
          <t>NORBERG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45705</v>
      </c>
      <c r="E118" s="1" t="n">
        <v>46259</v>
      </c>
      <c r="F118" t="inlineStr">
        <is>
          <t>VÄSTMANLANDS LÄN</t>
        </is>
      </c>
      <c r="G118" t="inlineStr">
        <is>
          <t>NORBERG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46259</v>
      </c>
      <c r="F119" t="inlineStr">
        <is>
          <t>VÄSTMANLANDS LÄN</t>
        </is>
      </c>
      <c r="G119" t="inlineStr">
        <is>
          <t>NORBERG</t>
        </is>
      </c>
      <c r="H119" t="inlineStr">
        <is>
          <t>Bergvik skog väst AB</t>
        </is>
      </c>
      <c r="I119" t="n">
        <v>12.1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73797-2021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44552</v>
      </c>
      <c r="E120" s="1" t="n">
        <v>46259</v>
      </c>
      <c r="F120" t="inlineStr">
        <is>
          <t>VÄSTMANLANDS LÄN</t>
        </is>
      </c>
      <c r="G120" t="inlineStr">
        <is>
          <t>NORBERG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46148</v>
      </c>
      <c r="E121" s="1" t="n">
        <v>46259</v>
      </c>
      <c r="F121" t="inlineStr">
        <is>
          <t>VÄSTMANLANDS LÄN</t>
        </is>
      </c>
      <c r="G121" t="inlineStr">
        <is>
          <t>NORBERG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46259</v>
      </c>
      <c r="F122" t="inlineStr">
        <is>
          <t>VÄSTMANLANDS LÄN</t>
        </is>
      </c>
      <c r="G122" t="inlineStr">
        <is>
          <t>NORBERG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46259</v>
      </c>
      <c r="F123" t="inlineStr">
        <is>
          <t>VÄSTMANLANDS LÄN</t>
        </is>
      </c>
      <c r="G123" t="inlineStr">
        <is>
          <t>NORBERG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46259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46259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46259</v>
      </c>
      <c r="F126" t="inlineStr">
        <is>
          <t>VÄSTMANLANDS LÄN</t>
        </is>
      </c>
      <c r="G126" t="inlineStr">
        <is>
          <t>NORBERG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46259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63505-2023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45274</v>
      </c>
      <c r="E128" s="1" t="n">
        <v>46259</v>
      </c>
      <c r="F128" t="inlineStr">
        <is>
          <t>VÄSTMANLANDS LÄN</t>
        </is>
      </c>
      <c r="G128" t="inlineStr">
        <is>
          <t>NORBERG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46153</v>
      </c>
      <c r="E129" s="1" t="n">
        <v>46259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46259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46259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46259</v>
      </c>
      <c r="F132" t="inlineStr">
        <is>
          <t>VÄSTMANLANDS LÄN</t>
        </is>
      </c>
      <c r="G132" t="inlineStr">
        <is>
          <t>NORBERG</t>
        </is>
      </c>
      <c r="I132" t="n">
        <v>22.4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56400-2025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45974</v>
      </c>
      <c r="E133" s="1" t="n">
        <v>46259</v>
      </c>
      <c r="F133" t="inlineStr">
        <is>
          <t>VÄSTMANLANDS LÄN</t>
        </is>
      </c>
      <c r="G133" t="inlineStr">
        <is>
          <t>NORBERG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46259</v>
      </c>
      <c r="F134" t="inlineStr">
        <is>
          <t>VÄSTMANLANDS LÄN</t>
        </is>
      </c>
      <c r="G134" t="inlineStr">
        <is>
          <t>NORBERG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46259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41448-2024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46259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46176</v>
      </c>
      <c r="E137" s="1" t="n">
        <v>46259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46259</v>
      </c>
      <c r="F138" t="inlineStr">
        <is>
          <t>VÄSTMANLANDS LÄN</t>
        </is>
      </c>
      <c r="G138" t="inlineStr">
        <is>
          <t>NORBERG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46223</v>
      </c>
      <c r="E139" s="1" t="n">
        <v>46259</v>
      </c>
      <c r="F139" t="inlineStr">
        <is>
          <t>VÄSTMANLANDS LÄN</t>
        </is>
      </c>
      <c r="G139" t="inlineStr">
        <is>
          <t>NORBERG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46259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45056</v>
      </c>
      <c r="E141" s="1" t="n">
        <v>46259</v>
      </c>
      <c r="F141" t="inlineStr">
        <is>
          <t>VÄSTMANLANDS LÄN</t>
        </is>
      </c>
      <c r="G141" t="inlineStr">
        <is>
          <t>NORBERG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46189</v>
      </c>
      <c r="E142" s="1" t="n">
        <v>46259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45233</v>
      </c>
      <c r="E143" s="1" t="n">
        <v>46259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46259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46259</v>
      </c>
      <c r="F145" t="inlineStr">
        <is>
          <t>VÄSTMANLANDS LÄN</t>
        </is>
      </c>
      <c r="G145" t="inlineStr">
        <is>
          <t>NORBERG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45454</v>
      </c>
      <c r="E146" s="1" t="n">
        <v>46259</v>
      </c>
      <c r="F146" t="inlineStr">
        <is>
          <t>VÄSTMANLANDS LÄN</t>
        </is>
      </c>
      <c r="G146" t="inlineStr">
        <is>
          <t>NORBERG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45454</v>
      </c>
      <c r="E147" s="1" t="n">
        <v>46259</v>
      </c>
      <c r="F147" t="inlineStr">
        <is>
          <t>VÄSTMANLANDS LÄN</t>
        </is>
      </c>
      <c r="G147" t="inlineStr">
        <is>
          <t>NORBERG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46232</v>
      </c>
      <c r="E148" s="1" t="n">
        <v>46259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46233</v>
      </c>
      <c r="E149" s="1" t="n">
        <v>46259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46259</v>
      </c>
      <c r="F150" t="inlineStr">
        <is>
          <t>VÄSTMANLANDS LÄN</t>
        </is>
      </c>
      <c r="G150" t="inlineStr">
        <is>
          <t>NORBERG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46259</v>
      </c>
      <c r="F151" t="inlineStr">
        <is>
          <t>VÄSTMANLANDS LÄN</t>
        </is>
      </c>
      <c r="G151" t="inlineStr">
        <is>
          <t>NORBERG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46259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44727</v>
      </c>
      <c r="E153" s="1" t="n">
        <v>46259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32385-2026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46238</v>
      </c>
      <c r="E154" s="1" t="n">
        <v>46259</v>
      </c>
      <c r="F154" t="inlineStr">
        <is>
          <t>VÄSTMANLANDS LÄN</t>
        </is>
      </c>
      <c r="G154" t="inlineStr">
        <is>
          <t>NORBERG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46259</v>
      </c>
      <c r="F155" t="inlineStr">
        <is>
          <t>VÄSTMANLANDS LÄN</t>
        </is>
      </c>
      <c r="G155" t="inlineStr">
        <is>
          <t>NORBERG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46259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46259</v>
      </c>
      <c r="F157" t="inlineStr">
        <is>
          <t>VÄSTMANLANDS LÄN</t>
        </is>
      </c>
      <c r="G157" t="inlineStr">
        <is>
          <t>NORBERG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45179</v>
      </c>
      <c r="E158" s="1" t="n">
        <v>46259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45607</v>
      </c>
      <c r="E159" s="1" t="n">
        <v>46259</v>
      </c>
      <c r="F159" t="inlineStr">
        <is>
          <t>VÄSTMANLANDS LÄN</t>
        </is>
      </c>
      <c r="G159" t="inlineStr">
        <is>
          <t>NORBERG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19377-2025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45769</v>
      </c>
      <c r="E160" s="1" t="n">
        <v>46259</v>
      </c>
      <c r="F160" t="inlineStr">
        <is>
          <t>VÄSTMANLANDS LÄN</t>
        </is>
      </c>
      <c r="G160" t="inlineStr">
        <is>
          <t>NORBERG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46259</v>
      </c>
      <c r="F161" t="inlineStr">
        <is>
          <t>VÄSTMANLANDS LÄN</t>
        </is>
      </c>
      <c r="G161" t="inlineStr">
        <is>
          <t>NORBERG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46014</v>
      </c>
      <c r="E162" s="1" t="n">
        <v>46259</v>
      </c>
      <c r="F162" t="inlineStr">
        <is>
          <t>VÄSTMANLANDS LÄN</t>
        </is>
      </c>
      <c r="G162" t="inlineStr">
        <is>
          <t>NORBERG</t>
        </is>
      </c>
      <c r="I162" t="n">
        <v>22.8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46014</v>
      </c>
      <c r="E163" s="1" t="n">
        <v>46259</v>
      </c>
      <c r="F163" t="inlineStr">
        <is>
          <t>VÄSTMANLANDS LÄN</t>
        </is>
      </c>
      <c r="G163" t="inlineStr">
        <is>
          <t>NORBERG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46259</v>
      </c>
      <c r="F164" t="inlineStr">
        <is>
          <t>VÄSTMANLANDS LÄN</t>
        </is>
      </c>
      <c r="G164" t="inlineStr">
        <is>
          <t>NORBERG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46259</v>
      </c>
      <c r="F165" t="inlineStr">
        <is>
          <t>VÄSTMANLANDS LÄN</t>
        </is>
      </c>
      <c r="G165" t="inlineStr">
        <is>
          <t>NORBERG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46259</v>
      </c>
      <c r="F166" t="inlineStr">
        <is>
          <t>VÄSTMANLANDS LÄN</t>
        </is>
      </c>
      <c r="G166" t="inlineStr">
        <is>
          <t>NORBERG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46259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44691</v>
      </c>
      <c r="E168" s="1" t="n">
        <v>46259</v>
      </c>
      <c r="F168" t="inlineStr">
        <is>
          <t>VÄSTMANLANDS LÄN</t>
        </is>
      </c>
      <c r="G168" t="inlineStr">
        <is>
          <t>NORBERG</t>
        </is>
      </c>
      <c r="H168" t="inlineStr">
        <is>
          <t>Övriga Aktiebolag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46259</v>
      </c>
      <c r="F169" t="inlineStr">
        <is>
          <t>VÄSTMANLANDS LÄN</t>
        </is>
      </c>
      <c r="G169" t="inlineStr">
        <is>
          <t>NORBERG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46259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46259</v>
      </c>
      <c r="F171" t="inlineStr">
        <is>
          <t>VÄSTMANLANDS LÄN</t>
        </is>
      </c>
      <c r="G171" t="inlineStr">
        <is>
          <t>NORBERG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46247</v>
      </c>
      <c r="E172" s="1" t="n">
        <v>46259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46259</v>
      </c>
      <c r="F173" t="inlineStr">
        <is>
          <t>VÄSTMANLANDS LÄN</t>
        </is>
      </c>
      <c r="G173" t="inlineStr">
        <is>
          <t>NORBERG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46259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46259</v>
      </c>
      <c r="F175" t="inlineStr">
        <is>
          <t>VÄSTMANLANDS LÄN</t>
        </is>
      </c>
      <c r="G175" t="inlineStr">
        <is>
          <t>NORBERG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45034</v>
      </c>
      <c r="E176" s="1" t="n">
        <v>46259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46259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46259</v>
      </c>
      <c r="F178" t="inlineStr">
        <is>
          <t>VÄSTMANLANDS LÄN</t>
        </is>
      </c>
      <c r="G178" t="inlineStr">
        <is>
          <t>NORBERG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46259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46259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46259</v>
      </c>
      <c r="F181" t="inlineStr">
        <is>
          <t>VÄSTMANLANDS LÄN</t>
        </is>
      </c>
      <c r="G181" t="inlineStr">
        <is>
          <t>NORBERG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46259</v>
      </c>
      <c r="F182" t="inlineStr">
        <is>
          <t>VÄSTMANLANDS LÄN</t>
        </is>
      </c>
      <c r="G182" t="inlineStr">
        <is>
          <t>NORBERG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46258</v>
      </c>
      <c r="E183" s="1" t="n">
        <v>46259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46259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46259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46259</v>
      </c>
      <c r="F186" t="inlineStr">
        <is>
          <t>VÄSTMANLANDS LÄN</t>
        </is>
      </c>
      <c r="G186" t="inlineStr">
        <is>
          <t>NORBERG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46259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60339-2025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45994</v>
      </c>
      <c r="E188" s="1" t="n">
        <v>46259</v>
      </c>
      <c r="F188" t="inlineStr">
        <is>
          <t>VÄSTMANLANDS LÄN</t>
        </is>
      </c>
      <c r="G188" t="inlineStr">
        <is>
          <t>NORBERG</t>
        </is>
      </c>
      <c r="H188" t="inlineStr">
        <is>
          <t>Kommuner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46259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46259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46259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2026-08-25T01:52:33Z</dcterms:created>
  <dcterms:modified xmlns:dcterms="http://purl.org/dc/terms/" xmlns:xsi="http://www.w3.org/2001/XMLSchema-instance" xsi:type="dcterms:W3CDTF">2026-08-25T01:52:33Z</dcterms:modified>
</cp:coreProperties>
</file>