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46316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46316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46316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46316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46316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46316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46316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41901-2026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46303</v>
      </c>
      <c r="E10" s="1" t="n">
        <v>46316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Skogshakmossa
Fläcknycklar</t>
        </is>
      </c>
      <c r="W10">
        <f>HYPERLINK("https://klasma.github.io/Logging_1962/artfynd/A 41901-2026 artfynd.xlsx", "A 41901-2026")</f>
        <v/>
      </c>
      <c r="X10">
        <f>HYPERLINK("https://klasma.github.io/Logging_1962/kartor/A 41901-2026 karta.png", "A 41901-2026")</f>
        <v/>
      </c>
      <c r="Y10">
        <f>HYPERLINK("https://klasma.github.io/Logging_1962/kartor_geotiff/A 41901-2026 georefererad karta.tif", "A 41901-2026")</f>
        <v/>
      </c>
      <c r="AA10">
        <f>HYPERLINK("https://klasma.github.io/Logging_1962/klagomål/A 41901-2026 FSC-klagomål.docx", "A 41901-2026")</f>
        <v/>
      </c>
      <c r="AB10">
        <f>HYPERLINK("https://klasma.github.io/Logging_1962/klagomålsmail/A 41901-2026 FSC-klagomål mail.docx", "A 41901-2026")</f>
        <v/>
      </c>
      <c r="AC10">
        <f>HYPERLINK("https://klasma.github.io/Logging_1962/tillsyn/A 41901-2026 tillsynsbegäran.docx", "A 41901-2026")</f>
        <v/>
      </c>
      <c r="AD10">
        <f>HYPERLINK("https://klasma.github.io/Logging_1962/tillsynsmail/A 41901-2026 tillsynsbegäran mail.docx", "A 41901-2026")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46316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46316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33377-2023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45128</v>
      </c>
      <c r="E13" s="1" t="n">
        <v>46316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Gul taggsvamp
Dofttaggsvamp</t>
        </is>
      </c>
      <c r="W13">
        <f>HYPERLINK("https://klasma.github.io/Logging_1962/artfynd/A 33377-2023 artfynd.xlsx", "A 33377-2023")</f>
        <v/>
      </c>
      <c r="X13">
        <f>HYPERLINK("https://klasma.github.io/Logging_1962/kartor/A 33377-2023 karta.png", "A 33377-2023")</f>
        <v/>
      </c>
      <c r="Y13">
        <f>HYPERLINK("https://klasma.github.io/Logging_1962/kartor_geotiff/A 33377-2023 georefererad karta.tif", "A 33377-2023")</f>
        <v/>
      </c>
      <c r="AA13">
        <f>HYPERLINK("https://klasma.github.io/Logging_1962/klagomål/A 33377-2023 FSC-klagomål.docx", "A 33377-2023")</f>
        <v/>
      </c>
      <c r="AB13">
        <f>HYPERLINK("https://klasma.github.io/Logging_1962/klagomålsmail/A 33377-2023 FSC-klagomål mail.docx", "A 33377-2023")</f>
        <v/>
      </c>
      <c r="AC13">
        <f>HYPERLINK("https://klasma.github.io/Logging_1962/tillsyn/A 33377-2023 tillsynsbegäran.docx", "A 33377-2023")</f>
        <v/>
      </c>
      <c r="AD13">
        <f>HYPERLINK("https://klasma.github.io/Logging_1962/tillsynsmail/A 33377-2023 tillsynsbegäran mail.docx", "A 33377-2023")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46316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46316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46316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46316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46316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38017-2025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45882</v>
      </c>
      <c r="E19" s="1" t="n">
        <v>46316</v>
      </c>
      <c r="F19" t="inlineStr">
        <is>
          <t>VÄSTMANLANDS LÄN</t>
        </is>
      </c>
      <c r="G19" t="inlineStr">
        <is>
          <t>NORBERG</t>
        </is>
      </c>
      <c r="H19" t="inlineStr">
        <is>
          <t>Övriga Aktiebolag</t>
        </is>
      </c>
      <c r="I19" t="n">
        <v>15.5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HYPERLINK("https://klasma.github.io/Logging_1962/artfynd/A 38017-2025 artfynd.xlsx", "A 38017-2025")</f>
        <v/>
      </c>
      <c r="X19">
        <f>HYPERLINK("https://klasma.github.io/Logging_1962/kartor/A 38017-2025 karta.png", "A 38017-2025")</f>
        <v/>
      </c>
      <c r="Y19">
        <f>HYPERLINK("https://klasma.github.io/Logging_1962/kartor_geotiff/A 38017-2025 georefererad karta.tif", "A 38017-2025")</f>
        <v/>
      </c>
      <c r="AA19">
        <f>HYPERLINK("https://klasma.github.io/Logging_1962/klagomål/A 38017-2025 FSC-klagomål.docx", "A 38017-2025")</f>
        <v/>
      </c>
      <c r="AB19">
        <f>HYPERLINK("https://klasma.github.io/Logging_1962/klagomålsmail/A 38017-2025 FSC-klagomål mail.docx", "A 38017-2025")</f>
        <v/>
      </c>
      <c r="AC19">
        <f>HYPERLINK("https://klasma.github.io/Logging_1962/tillsyn/A 38017-2025 tillsynsbegäran.docx", "A 38017-2025")</f>
        <v/>
      </c>
      <c r="AD19">
        <f>HYPERLINK("https://klasma.github.io/Logging_1962/tillsynsmail/A 38017-2025 tillsynsbegäran mail.docx", "A 38017-2025")</f>
        <v/>
      </c>
    </row>
    <row r="20" ht="15" customHeight="1">
      <c r="A20" t="inlineStr">
        <is>
          <t>A 34967-2023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45142</v>
      </c>
      <c r="E20" s="1" t="n">
        <v>46316</v>
      </c>
      <c r="F20" t="inlineStr">
        <is>
          <t>VÄSTMANLANDS LÄN</t>
        </is>
      </c>
      <c r="G20" t="inlineStr">
        <is>
          <t>NORBERG</t>
        </is>
      </c>
      <c r="H20" t="inlineStr">
        <is>
          <t>Kyrkan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Skogsklocka</t>
        </is>
      </c>
      <c r="W20">
        <f>HYPERLINK("https://klasma.github.io/Logging_1962/artfynd/A 34967-2023 artfynd.xlsx", "A 34967-2023")</f>
        <v/>
      </c>
      <c r="X20">
        <f>HYPERLINK("https://klasma.github.io/Logging_1962/kartor/A 34967-2023 karta.png", "A 34967-2023")</f>
        <v/>
      </c>
      <c r="Y20">
        <f>HYPERLINK("https://klasma.github.io/Logging_1962/kartor_geotiff/A 34967-2023 georefererad karta.tif", "A 34967-2023")</f>
        <v/>
      </c>
      <c r="AA20">
        <f>HYPERLINK("https://klasma.github.io/Logging_1962/klagomål/A 34967-2023 FSC-klagomål.docx", "A 34967-2023")</f>
        <v/>
      </c>
      <c r="AB20">
        <f>HYPERLINK("https://klasma.github.io/Logging_1962/klagomålsmail/A 34967-2023 FSC-klagomål mail.docx", "A 34967-2023")</f>
        <v/>
      </c>
      <c r="AC20">
        <f>HYPERLINK("https://klasma.github.io/Logging_1962/tillsyn/A 34967-2023 tillsynsbegäran.docx", "A 34967-2023")</f>
        <v/>
      </c>
      <c r="AD20">
        <f>HYPERLINK("https://klasma.github.io/Logging_1962/tillsynsmail/A 34967-2023 tillsynsbegäran mail.docx", "A 34967-2023")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46316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18464-2025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46316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1.1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Skogsknipprot</t>
        </is>
      </c>
      <c r="W22">
        <f>HYPERLINK("https://klasma.github.io/Logging_1962/artfynd/A 18464-2025 artfynd.xlsx", "A 18464-2025")</f>
        <v/>
      </c>
      <c r="X22">
        <f>HYPERLINK("https://klasma.github.io/Logging_1962/kartor/A 18464-2025 karta.png", "A 18464-2025")</f>
        <v/>
      </c>
      <c r="Y22">
        <f>HYPERLINK("https://klasma.github.io/Logging_1962/kartor_geotiff/A 18464-2025 georefererad karta.tif", "A 18464-2025")</f>
        <v/>
      </c>
      <c r="AA22">
        <f>HYPERLINK("https://klasma.github.io/Logging_1962/klagomål/A 18464-2025 FSC-klagomål.docx", "A 18464-2025")</f>
        <v/>
      </c>
      <c r="AB22">
        <f>HYPERLINK("https://klasma.github.io/Logging_1962/klagomålsmail/A 18464-2025 FSC-klagomål mail.docx", "A 18464-2025")</f>
        <v/>
      </c>
      <c r="AC22">
        <f>HYPERLINK("https://klasma.github.io/Logging_1962/tillsyn/A 18464-2025 tillsynsbegäran.docx", "A 18464-2025")</f>
        <v/>
      </c>
      <c r="AD22">
        <f>HYPERLINK("https://klasma.github.io/Logging_1962/tillsynsmail/A 18464-2025 tillsynsbegäran mail.docx", "A 18464-2025")</f>
        <v/>
      </c>
    </row>
    <row r="23" ht="15" customHeight="1">
      <c r="A23" t="inlineStr">
        <is>
          <t>A 38927-2026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46316</v>
      </c>
      <c r="F23" t="inlineStr">
        <is>
          <t>VÄSTMANLANDS LÄN</t>
        </is>
      </c>
      <c r="G23" t="inlineStr">
        <is>
          <t>NORBERG</t>
        </is>
      </c>
      <c r="I23" t="n">
        <v>2.9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HYPERLINK("https://klasma.github.io/Logging_1962/artfynd/A 38927-2026 artfynd.xlsx", "A 38927-2026")</f>
        <v/>
      </c>
      <c r="X23">
        <f>HYPERLINK("https://klasma.github.io/Logging_1962/kartor/A 38927-2026 karta.png", "A 38927-2026")</f>
        <v/>
      </c>
      <c r="Y23">
        <f>HYPERLINK("https://klasma.github.io/Logging_1962/kartor_geotiff/A 38927-2026 georefererad karta.tif", "A 38927-2026")</f>
        <v/>
      </c>
      <c r="AA23">
        <f>HYPERLINK("https://klasma.github.io/Logging_1962/klagomål/A 38927-2026 FSC-klagomål.docx", "A 38927-2026")</f>
        <v/>
      </c>
      <c r="AB23">
        <f>HYPERLINK("https://klasma.github.io/Logging_1962/klagomålsmail/A 38927-2026 FSC-klagomål mail.docx", "A 38927-2026")</f>
        <v/>
      </c>
      <c r="AC23">
        <f>HYPERLINK("https://klasma.github.io/Logging_1962/tillsyn/A 38927-2026 tillsynsbegäran.docx", "A 38927-2026")</f>
        <v/>
      </c>
      <c r="AD23">
        <f>HYPERLINK("https://klasma.github.io/Logging_1962/tillsynsmail/A 38927-2026 tillsynsbegäran mail.docx", "A 38927-2026")</f>
        <v/>
      </c>
    </row>
    <row r="24" ht="15" customHeight="1">
      <c r="A24" t="inlineStr">
        <is>
          <t>A 52063-2022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44873</v>
      </c>
      <c r="E24" s="1" t="n">
        <v>46316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HYPERLINK("https://klasma.github.io/Logging_1962/artfynd/A 52063-2022 artfynd.xlsx", "A 52063-2022")</f>
        <v/>
      </c>
      <c r="X24">
        <f>HYPERLINK("https://klasma.github.io/Logging_1962/kartor/A 52063-2022 karta.png", "A 52063-2022")</f>
        <v/>
      </c>
      <c r="Y24">
        <f>HYPERLINK("https://klasma.github.io/Logging_1962/kartor_geotiff/A 52063-2022 georefererad karta.tif", "A 52063-2022")</f>
        <v/>
      </c>
      <c r="AA24">
        <f>HYPERLINK("https://klasma.github.io/Logging_1962/klagomål/A 52063-2022 FSC-klagomål.docx", "A 52063-2022")</f>
        <v/>
      </c>
      <c r="AB24">
        <f>HYPERLINK("https://klasma.github.io/Logging_1962/klagomålsmail/A 52063-2022 FSC-klagomål mail.docx", "A 52063-2022")</f>
        <v/>
      </c>
      <c r="AC24">
        <f>HYPERLINK("https://klasma.github.io/Logging_1962/tillsyn/A 52063-2022 tillsynsbegäran.docx", "A 52063-2022")</f>
        <v/>
      </c>
      <c r="AD24">
        <f>HYPERLINK("https://klasma.github.io/Logging_1962/tillsynsmail/A 52063-2022 tillsynsbegäran mail.docx", "A 52063-2022")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46316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34234-2026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46316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34234-2026 artfynd.xlsx", "A 34234-2026")</f>
        <v/>
      </c>
      <c r="X26">
        <f>HYPERLINK("https://klasma.github.io/Logging_1962/kartor/A 34234-2026 karta.png", "A 34234-2026")</f>
        <v/>
      </c>
      <c r="Y26">
        <f>HYPERLINK("https://klasma.github.io/Logging_1962/kartor_geotiff/A 34234-2026 georefererad karta.tif", "A 34234-2026")</f>
        <v/>
      </c>
      <c r="AA26">
        <f>HYPERLINK("https://klasma.github.io/Logging_1962/klagomål/A 34234-2026 FSC-klagomål.docx", "A 34234-2026")</f>
        <v/>
      </c>
      <c r="AB26">
        <f>HYPERLINK("https://klasma.github.io/Logging_1962/klagomålsmail/A 34234-2026 FSC-klagomål mail.docx", "A 34234-2026")</f>
        <v/>
      </c>
      <c r="AC26">
        <f>HYPERLINK("https://klasma.github.io/Logging_1962/tillsyn/A 34234-2026 tillsynsbegäran.docx", "A 34234-2026")</f>
        <v/>
      </c>
      <c r="AD26">
        <f>HYPERLINK("https://klasma.github.io/Logging_1962/tillsynsmail/A 34234-2026 tillsynsbegäran mail.docx", "A 34234-2026")</f>
        <v/>
      </c>
    </row>
    <row r="27" ht="15" customHeight="1">
      <c r="A27" t="inlineStr">
        <is>
          <t>A 41909-2026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46303</v>
      </c>
      <c r="E27" s="1" t="n">
        <v>46316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41909-2026 artfynd.xlsx", "A 41909-2026")</f>
        <v/>
      </c>
      <c r="X27">
        <f>HYPERLINK("https://klasma.github.io/Logging_1962/kartor/A 41909-2026 karta.png", "A 41909-2026")</f>
        <v/>
      </c>
      <c r="Y27">
        <f>HYPERLINK("https://klasma.github.io/Logging_1962/kartor_geotiff/A 41909-2026 georefererad karta.tif", "A 41909-2026")</f>
        <v/>
      </c>
      <c r="AA27">
        <f>HYPERLINK("https://klasma.github.io/Logging_1962/klagomål/A 41909-2026 FSC-klagomål.docx", "A 41909-2026")</f>
        <v/>
      </c>
      <c r="AB27">
        <f>HYPERLINK("https://klasma.github.io/Logging_1962/klagomålsmail/A 41909-2026 FSC-klagomål mail.docx", "A 41909-2026")</f>
        <v/>
      </c>
      <c r="AC27">
        <f>HYPERLINK("https://klasma.github.io/Logging_1962/tillsyn/A 41909-2026 tillsynsbegäran.docx", "A 41909-2026")</f>
        <v/>
      </c>
      <c r="AD27">
        <f>HYPERLINK("https://klasma.github.io/Logging_1962/tillsynsmail/A 41909-2026 tillsynsbegäran mail.docx", "A 41909-2026")</f>
        <v/>
      </c>
    </row>
    <row r="28" ht="15" customHeight="1">
      <c r="A28" t="inlineStr">
        <is>
          <t>A 36383-2026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46268</v>
      </c>
      <c r="E28" s="1" t="n">
        <v>46316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8.300000000000001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Plattlummer</t>
        </is>
      </c>
      <c r="W28">
        <f>HYPERLINK("https://klasma.github.io/Logging_1962/artfynd/A 36383-2026 artfynd.xlsx", "A 36383-2026")</f>
        <v/>
      </c>
      <c r="X28">
        <f>HYPERLINK("https://klasma.github.io/Logging_1962/kartor/A 36383-2026 karta.png", "A 36383-2026")</f>
        <v/>
      </c>
      <c r="Y28">
        <f>HYPERLINK("https://klasma.github.io/Logging_1962/kartor_geotiff/A 36383-2026 georefererad karta.tif", "A 36383-2026")</f>
        <v/>
      </c>
      <c r="AA28">
        <f>HYPERLINK("https://klasma.github.io/Logging_1962/klagomål/A 36383-2026 FSC-klagomål.docx", "A 36383-2026")</f>
        <v/>
      </c>
      <c r="AB28">
        <f>HYPERLINK("https://klasma.github.io/Logging_1962/klagomålsmail/A 36383-2026 FSC-klagomål mail.docx", "A 36383-2026")</f>
        <v/>
      </c>
      <c r="AC28">
        <f>HYPERLINK("https://klasma.github.io/Logging_1962/tillsyn/A 36383-2026 tillsynsbegäran.docx", "A 36383-2026")</f>
        <v/>
      </c>
      <c r="AD28">
        <f>HYPERLINK("https://klasma.github.io/Logging_1962/tillsynsmail/A 36383-2026 tillsynsbegäran mail.docx", "A 36383-2026")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46316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46316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46316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46316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46316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46316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46316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46316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46316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46316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46316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46316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46316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46316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46316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46316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46316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46316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46316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46316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46316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46316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23433-2025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46316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23418-2025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46316</v>
      </c>
      <c r="F52" t="inlineStr">
        <is>
          <t>VÄSTMANLANDS LÄN</t>
        </is>
      </c>
      <c r="G52" t="inlineStr">
        <is>
          <t>NORBERG</t>
        </is>
      </c>
      <c r="H52" t="inlineStr">
        <is>
          <t>Övriga Aktiebolag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46316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9.300000000000001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46006</v>
      </c>
      <c r="E54" s="1" t="n">
        <v>46316</v>
      </c>
      <c r="F54" t="inlineStr">
        <is>
          <t>VÄSTMANLANDS LÄN</t>
        </is>
      </c>
      <c r="G54" t="inlineStr">
        <is>
          <t>NORBERG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45274</v>
      </c>
      <c r="E55" s="1" t="n">
        <v>46316</v>
      </c>
      <c r="F55" t="inlineStr">
        <is>
          <t>VÄSTMANLANDS LÄN</t>
        </is>
      </c>
      <c r="G55" t="inlineStr">
        <is>
          <t>NORBERG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62882-2025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46008</v>
      </c>
      <c r="E56" s="1" t="n">
        <v>46316</v>
      </c>
      <c r="F56" t="inlineStr">
        <is>
          <t>VÄSTMANLANDS LÄN</t>
        </is>
      </c>
      <c r="G56" t="inlineStr">
        <is>
          <t>NORBERG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9907-2024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45363</v>
      </c>
      <c r="E57" s="1" t="n">
        <v>46316</v>
      </c>
      <c r="F57" t="inlineStr">
        <is>
          <t>VÄSTMANLANDS LÄN</t>
        </is>
      </c>
      <c r="G57" t="inlineStr">
        <is>
          <t>NORBERG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37200-2023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46316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36905-2023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45154</v>
      </c>
      <c r="E59" s="1" t="n">
        <v>46316</v>
      </c>
      <c r="F59" t="inlineStr">
        <is>
          <t>VÄSTMANLANDS LÄN</t>
        </is>
      </c>
      <c r="G59" t="inlineStr">
        <is>
          <t>NORBERG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46014</v>
      </c>
      <c r="E60" s="1" t="n">
        <v>46316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46014</v>
      </c>
      <c r="E61" s="1" t="n">
        <v>46316</v>
      </c>
      <c r="F61" t="inlineStr">
        <is>
          <t>VÄSTMANLANDS LÄN</t>
        </is>
      </c>
      <c r="G61" t="inlineStr">
        <is>
          <t>NORBERG</t>
        </is>
      </c>
      <c r="I61" t="n">
        <v>22.8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45226</v>
      </c>
      <c r="E62" s="1" t="n">
        <v>46316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46316</v>
      </c>
      <c r="F63" t="inlineStr">
        <is>
          <t>VÄSTMANLANDS LÄN</t>
        </is>
      </c>
      <c r="G63" t="inlineStr">
        <is>
          <t>NORBERG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45705</v>
      </c>
      <c r="E64" s="1" t="n">
        <v>46316</v>
      </c>
      <c r="F64" t="inlineStr">
        <is>
          <t>VÄSTMANLANDS LÄN</t>
        </is>
      </c>
      <c r="G64" t="inlineStr">
        <is>
          <t>NORBERG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45200</v>
      </c>
      <c r="E65" s="1" t="n">
        <v>46316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43103-2024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45567</v>
      </c>
      <c r="E66" s="1" t="n">
        <v>46316</v>
      </c>
      <c r="F66" t="inlineStr">
        <is>
          <t>VÄSTMANLANDS LÄN</t>
        </is>
      </c>
      <c r="G66" t="inlineStr">
        <is>
          <t>NORBERG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46045</v>
      </c>
      <c r="E67" s="1" t="n">
        <v>46316</v>
      </c>
      <c r="F67" t="inlineStr">
        <is>
          <t>VÄSTMANLANDS LÄN</t>
        </is>
      </c>
      <c r="G67" t="inlineStr">
        <is>
          <t>NORBERG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46316</v>
      </c>
      <c r="F68" t="inlineStr">
        <is>
          <t>VÄSTMANLANDS LÄN</t>
        </is>
      </c>
      <c r="G68" t="inlineStr">
        <is>
          <t>NORBERG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46316</v>
      </c>
      <c r="F69" t="inlineStr">
        <is>
          <t>VÄSTMANLANDS LÄN</t>
        </is>
      </c>
      <c r="G69" t="inlineStr">
        <is>
          <t>NORBERG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60339-2025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45994</v>
      </c>
      <c r="E70" s="1" t="n">
        <v>46316</v>
      </c>
      <c r="F70" t="inlineStr">
        <is>
          <t>VÄSTMANLANDS LÄN</t>
        </is>
      </c>
      <c r="G70" t="inlineStr">
        <is>
          <t>NORBERG</t>
        </is>
      </c>
      <c r="H70" t="inlineStr">
        <is>
          <t>Kommuner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45730</v>
      </c>
      <c r="E71" s="1" t="n">
        <v>46316</v>
      </c>
      <c r="F71" t="inlineStr">
        <is>
          <t>VÄSTMANLANDS LÄN</t>
        </is>
      </c>
      <c r="G71" t="inlineStr">
        <is>
          <t>NORBERG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30211-2025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45827</v>
      </c>
      <c r="E72" s="1" t="n">
        <v>46316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49001-2025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46316</v>
      </c>
      <c r="F73" t="inlineStr">
        <is>
          <t>VÄSTMANLANDS LÄN</t>
        </is>
      </c>
      <c r="G73" t="inlineStr">
        <is>
          <t>NORBERG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46316</v>
      </c>
      <c r="F74" t="inlineStr">
        <is>
          <t>VÄSTMANLANDS LÄN</t>
        </is>
      </c>
      <c r="G74" t="inlineStr">
        <is>
          <t>NORBERG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45316</v>
      </c>
      <c r="E75" s="1" t="n">
        <v>46316</v>
      </c>
      <c r="F75" t="inlineStr">
        <is>
          <t>VÄSTMANLANDS LÄN</t>
        </is>
      </c>
      <c r="G75" t="inlineStr">
        <is>
          <t>NORBERG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63505-2023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45274</v>
      </c>
      <c r="E76" s="1" t="n">
        <v>46316</v>
      </c>
      <c r="F76" t="inlineStr">
        <is>
          <t>VÄSTMANLANDS LÄN</t>
        </is>
      </c>
      <c r="G76" t="inlineStr">
        <is>
          <t>NORBERG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46099</v>
      </c>
      <c r="E77" s="1" t="n">
        <v>46316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45179</v>
      </c>
      <c r="E78" s="1" t="n">
        <v>46316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46105</v>
      </c>
      <c r="E79" s="1" t="n">
        <v>46316</v>
      </c>
      <c r="F79" t="inlineStr">
        <is>
          <t>VÄSTMANLANDS LÄN</t>
        </is>
      </c>
      <c r="G79" t="inlineStr">
        <is>
          <t>NORBERG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46316</v>
      </c>
      <c r="F80" t="inlineStr">
        <is>
          <t>VÄSTMANLANDS LÄN</t>
        </is>
      </c>
      <c r="G80" t="inlineStr">
        <is>
          <t>NORBERG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46105</v>
      </c>
      <c r="E81" s="1" t="n">
        <v>46316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7.4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19075-2022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44691</v>
      </c>
      <c r="E82" s="1" t="n">
        <v>46316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15981-2026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46108</v>
      </c>
      <c r="E83" s="1" t="n">
        <v>46316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46316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45001</v>
      </c>
      <c r="E85" s="1" t="n">
        <v>46316</v>
      </c>
      <c r="F85" t="inlineStr">
        <is>
          <t>VÄSTMANLANDS LÄN</t>
        </is>
      </c>
      <c r="G85" t="inlineStr">
        <is>
          <t>NORBERG</t>
        </is>
      </c>
      <c r="I85" t="n">
        <v>22.4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45966</v>
      </c>
      <c r="E86" s="1" t="n">
        <v>46316</v>
      </c>
      <c r="F86" t="inlineStr">
        <is>
          <t>VÄSTMANLANDS LÄN</t>
        </is>
      </c>
      <c r="G86" t="inlineStr">
        <is>
          <t>NORBERG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46316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16897-2026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46113</v>
      </c>
      <c r="E88" s="1" t="n">
        <v>46316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46316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11099-2022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46316</v>
      </c>
      <c r="F90" t="inlineStr">
        <is>
          <t>VÄSTMANLANDS LÄN</t>
        </is>
      </c>
      <c r="G90" t="inlineStr">
        <is>
          <t>NORBERG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46316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45729</v>
      </c>
      <c r="E92" s="1" t="n">
        <v>46316</v>
      </c>
      <c r="F92" t="inlineStr">
        <is>
          <t>VÄSTMANLANDS LÄN</t>
        </is>
      </c>
      <c r="G92" t="inlineStr">
        <is>
          <t>NORBERG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46316</v>
      </c>
      <c r="F93" t="inlineStr">
        <is>
          <t>VÄSTMANLANDS LÄN</t>
        </is>
      </c>
      <c r="G93" t="inlineStr">
        <is>
          <t>NORBERG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46316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45989</v>
      </c>
      <c r="E95" s="1" t="n">
        <v>46316</v>
      </c>
      <c r="F95" t="inlineStr">
        <is>
          <t>VÄSTMANLANDS LÄN</t>
        </is>
      </c>
      <c r="G95" t="inlineStr">
        <is>
          <t>NORBERG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46316</v>
      </c>
      <c r="F96" t="inlineStr">
        <is>
          <t>VÄSTMANLANDS LÄN</t>
        </is>
      </c>
      <c r="G96" t="inlineStr">
        <is>
          <t>NORBERG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44860</v>
      </c>
      <c r="E97" s="1" t="n">
        <v>46316</v>
      </c>
      <c r="F97" t="inlineStr">
        <is>
          <t>VÄSTMANLANDS LÄN</t>
        </is>
      </c>
      <c r="G97" t="inlineStr">
        <is>
          <t>NORBERG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45554</v>
      </c>
      <c r="E98" s="1" t="n">
        <v>46316</v>
      </c>
      <c r="F98" t="inlineStr">
        <is>
          <t>VÄSTMANLANDS LÄN</t>
        </is>
      </c>
      <c r="G98" t="inlineStr">
        <is>
          <t>NORBERG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45169</v>
      </c>
      <c r="E99" s="1" t="n">
        <v>46316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46316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45598</v>
      </c>
      <c r="E101" s="1" t="n">
        <v>46316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45679</v>
      </c>
      <c r="E102" s="1" t="n">
        <v>46316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57993-2024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46316</v>
      </c>
      <c r="F103" t="inlineStr">
        <is>
          <t>VÄSTMANLANDS LÄN</t>
        </is>
      </c>
      <c r="G103" t="inlineStr">
        <is>
          <t>NORBERG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46316</v>
      </c>
      <c r="F104" t="inlineStr">
        <is>
          <t>VÄSTMANLANDS LÄN</t>
        </is>
      </c>
      <c r="G104" t="inlineStr">
        <is>
          <t>NORBERG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48396-2023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46316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46316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15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46316</v>
      </c>
      <c r="F107" t="inlineStr">
        <is>
          <t>VÄSTMANLANDS LÄN</t>
        </is>
      </c>
      <c r="G107" t="inlineStr">
        <is>
          <t>NORBERG</t>
        </is>
      </c>
      <c r="H107" t="inlineStr">
        <is>
          <t>Övriga Aktiebolag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46316</v>
      </c>
      <c r="F108" t="inlineStr">
        <is>
          <t>VÄSTMANLANDS LÄN</t>
        </is>
      </c>
      <c r="G108" t="inlineStr">
        <is>
          <t>NORBERG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20968-2026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46142</v>
      </c>
      <c r="E109" s="1" t="n">
        <v>46316</v>
      </c>
      <c r="F109" t="inlineStr">
        <is>
          <t>VÄSTMANLANDS LÄN</t>
        </is>
      </c>
      <c r="G109" t="inlineStr">
        <is>
          <t>NORBERG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46146</v>
      </c>
      <c r="E110" s="1" t="n">
        <v>46316</v>
      </c>
      <c r="F110" t="inlineStr">
        <is>
          <t>VÄSTMANLANDS LÄN</t>
        </is>
      </c>
      <c r="G110" t="inlineStr">
        <is>
          <t>NORBERG</t>
        </is>
      </c>
      <c r="H110" t="inlineStr">
        <is>
          <t>Bergvik skog väst AB</t>
        </is>
      </c>
      <c r="I110" t="n">
        <v>12.1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46148</v>
      </c>
      <c r="E111" s="1" t="n">
        <v>46316</v>
      </c>
      <c r="F111" t="inlineStr">
        <is>
          <t>VÄSTMANLANDS LÄN</t>
        </is>
      </c>
      <c r="G111" t="inlineStr">
        <is>
          <t>NORBERG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21526-2026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46316</v>
      </c>
      <c r="F112" t="inlineStr">
        <is>
          <t>VÄSTMANLANDS LÄN</t>
        </is>
      </c>
      <c r="G112" t="inlineStr">
        <is>
          <t>NORBERG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46316</v>
      </c>
      <c r="F113" t="inlineStr">
        <is>
          <t>VÄSTMANLANDS LÄN</t>
        </is>
      </c>
      <c r="G113" t="inlineStr">
        <is>
          <t>NORBERG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46316</v>
      </c>
      <c r="F114" t="inlineStr">
        <is>
          <t>VÄSTMANLANDS LÄN</t>
        </is>
      </c>
      <c r="G114" t="inlineStr">
        <is>
          <t>NORBERG</t>
        </is>
      </c>
      <c r="H114" t="inlineStr">
        <is>
          <t>Bergvik skog väst AB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45597</v>
      </c>
      <c r="E115" s="1" t="n">
        <v>46316</v>
      </c>
      <c r="F115" t="inlineStr">
        <is>
          <t>VÄSTMANLANDS LÄN</t>
        </is>
      </c>
      <c r="G115" t="inlineStr">
        <is>
          <t>NORBERG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45537</v>
      </c>
      <c r="E116" s="1" t="n">
        <v>46316</v>
      </c>
      <c r="F116" t="inlineStr">
        <is>
          <t>VÄSTMANLANDS LÄN</t>
        </is>
      </c>
      <c r="G116" t="inlineStr">
        <is>
          <t>NORBERG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46316</v>
      </c>
      <c r="F117" t="inlineStr">
        <is>
          <t>VÄSTMANLANDS LÄN</t>
        </is>
      </c>
      <c r="G117" t="inlineStr">
        <is>
          <t>NORBERG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56400-2025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45974</v>
      </c>
      <c r="E118" s="1" t="n">
        <v>46316</v>
      </c>
      <c r="F118" t="inlineStr">
        <is>
          <t>VÄSTMANLANDS LÄN</t>
        </is>
      </c>
      <c r="G118" t="inlineStr">
        <is>
          <t>NORBERG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51790-2024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45607</v>
      </c>
      <c r="E119" s="1" t="n">
        <v>46316</v>
      </c>
      <c r="F119" t="inlineStr">
        <is>
          <t>VÄSTMANLANDS LÄN</t>
        </is>
      </c>
      <c r="G119" t="inlineStr">
        <is>
          <t>NORBERG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45764</v>
      </c>
      <c r="E120" s="1" t="n">
        <v>46316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25331-2026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46176</v>
      </c>
      <c r="E121" s="1" t="n">
        <v>46316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44852</v>
      </c>
      <c r="E122" s="1" t="n">
        <v>46316</v>
      </c>
      <c r="F122" t="inlineStr">
        <is>
          <t>VÄSTMANLANDS LÄN</t>
        </is>
      </c>
      <c r="G122" t="inlineStr">
        <is>
          <t>NORBERG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46316</v>
      </c>
      <c r="F123" t="inlineStr">
        <is>
          <t>VÄSTMANLANDS LÄN</t>
        </is>
      </c>
      <c r="G123" t="inlineStr">
        <is>
          <t>NORBERG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45320</v>
      </c>
      <c r="E124" s="1" t="n">
        <v>46316</v>
      </c>
      <c r="F124" t="inlineStr">
        <is>
          <t>VÄSTMANLANDS LÄN</t>
        </is>
      </c>
      <c r="G124" t="inlineStr">
        <is>
          <t>NORBERG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46189</v>
      </c>
      <c r="E125" s="1" t="n">
        <v>46316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13.7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46316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27716-2026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46316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45769</v>
      </c>
      <c r="E128" s="1" t="n">
        <v>46316</v>
      </c>
      <c r="F128" t="inlineStr">
        <is>
          <t>VÄSTMANLANDS LÄN</t>
        </is>
      </c>
      <c r="G128" t="inlineStr">
        <is>
          <t>NORBERG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46316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21976-2026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46153</v>
      </c>
      <c r="E130" s="1" t="n">
        <v>46316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45056</v>
      </c>
      <c r="E131" s="1" t="n">
        <v>46316</v>
      </c>
      <c r="F131" t="inlineStr">
        <is>
          <t>VÄSTMANLANDS LÄN</t>
        </is>
      </c>
      <c r="G131" t="inlineStr">
        <is>
          <t>NORBERG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46316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20378-2023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45056</v>
      </c>
      <c r="E133" s="1" t="n">
        <v>46316</v>
      </c>
      <c r="F133" t="inlineStr">
        <is>
          <t>VÄSTMANLANDS LÄN</t>
        </is>
      </c>
      <c r="G133" t="inlineStr">
        <is>
          <t>NORBERG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45639</v>
      </c>
      <c r="E134" s="1" t="n">
        <v>46316</v>
      </c>
      <c r="F134" t="inlineStr">
        <is>
          <t>VÄSTMANLANDS LÄN</t>
        </is>
      </c>
      <c r="G134" t="inlineStr">
        <is>
          <t>NORBERG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46316</v>
      </c>
      <c r="F135" t="inlineStr">
        <is>
          <t>VÄSTMANLANDS LÄN</t>
        </is>
      </c>
      <c r="G135" t="inlineStr">
        <is>
          <t>NORBERG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45588</v>
      </c>
      <c r="E136" s="1" t="n">
        <v>46316</v>
      </c>
      <c r="F136" t="inlineStr">
        <is>
          <t>VÄSTMANLANDS LÄN</t>
        </is>
      </c>
      <c r="G136" t="inlineStr">
        <is>
          <t>NORBERG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46316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46223</v>
      </c>
      <c r="E138" s="1" t="n">
        <v>46316</v>
      </c>
      <c r="F138" t="inlineStr">
        <is>
          <t>VÄSTMANLANDS LÄN</t>
        </is>
      </c>
      <c r="G138" t="inlineStr">
        <is>
          <t>NORBERG</t>
        </is>
      </c>
      <c r="I138" t="n">
        <v>9.800000000000001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46316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28608-2026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46316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31972-2026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46232</v>
      </c>
      <c r="E141" s="1" t="n">
        <v>46316</v>
      </c>
      <c r="F141" t="inlineStr">
        <is>
          <t>VÄSTMANLANDS LÄN</t>
        </is>
      </c>
      <c r="G141" t="inlineStr">
        <is>
          <t>NORBERG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46316</v>
      </c>
      <c r="F142" t="inlineStr">
        <is>
          <t>VÄSTMANLANDS LÄN</t>
        </is>
      </c>
      <c r="G142" t="inlineStr">
        <is>
          <t>NORBERG</t>
        </is>
      </c>
      <c r="H142" t="inlineStr">
        <is>
          <t>Bergvik skog väst AB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31967-2026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46232</v>
      </c>
      <c r="E143" s="1" t="n">
        <v>46316</v>
      </c>
      <c r="F143" t="inlineStr">
        <is>
          <t>VÄSTMANLANDS LÄN</t>
        </is>
      </c>
      <c r="G143" t="inlineStr">
        <is>
          <t>NORBERG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46233</v>
      </c>
      <c r="E144" s="1" t="n">
        <v>46316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32385-2026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46238</v>
      </c>
      <c r="E145" s="1" t="n">
        <v>46316</v>
      </c>
      <c r="F145" t="inlineStr">
        <is>
          <t>VÄSTMANLANDS LÄN</t>
        </is>
      </c>
      <c r="G145" t="inlineStr">
        <is>
          <t>NORBERG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46316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45474</v>
      </c>
      <c r="E147" s="1" t="n">
        <v>46316</v>
      </c>
      <c r="F147" t="inlineStr">
        <is>
          <t>VÄSTMANLANDS LÄN</t>
        </is>
      </c>
      <c r="G147" t="inlineStr">
        <is>
          <t>NORBERG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46246</v>
      </c>
      <c r="E148" s="1" t="n">
        <v>46316</v>
      </c>
      <c r="F148" t="inlineStr">
        <is>
          <t>VÄSTMANLANDS LÄN</t>
        </is>
      </c>
      <c r="G148" t="inlineStr">
        <is>
          <t>NORBERG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47029-2024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45586</v>
      </c>
      <c r="E149" s="1" t="n">
        <v>46316</v>
      </c>
      <c r="F149" t="inlineStr">
        <is>
          <t>VÄSTMANLANDS LÄN</t>
        </is>
      </c>
      <c r="G149" t="inlineStr">
        <is>
          <t>NORBERG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45613</v>
      </c>
      <c r="E150" s="1" t="n">
        <v>46316</v>
      </c>
      <c r="F150" t="inlineStr">
        <is>
          <t>VÄSTMANLANDS LÄN</t>
        </is>
      </c>
      <c r="G150" t="inlineStr">
        <is>
          <t>NORBERG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46247</v>
      </c>
      <c r="E151" s="1" t="n">
        <v>46316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46316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46316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46316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46316</v>
      </c>
      <c r="F155" t="inlineStr">
        <is>
          <t>VÄSTMANLANDS LÄN</t>
        </is>
      </c>
      <c r="G155" t="inlineStr">
        <is>
          <t>NORBERG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46316</v>
      </c>
      <c r="F156" t="inlineStr">
        <is>
          <t>VÄSTMANLANDS LÄN</t>
        </is>
      </c>
      <c r="G156" t="inlineStr">
        <is>
          <t>NORBERG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45454</v>
      </c>
      <c r="E157" s="1" t="n">
        <v>46316</v>
      </c>
      <c r="F157" t="inlineStr">
        <is>
          <t>VÄSTMANLANDS LÄN</t>
        </is>
      </c>
      <c r="G157" t="inlineStr">
        <is>
          <t>NORBERG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45200</v>
      </c>
      <c r="E158" s="1" t="n">
        <v>46316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46316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46316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45089</v>
      </c>
      <c r="E161" s="1" t="n">
        <v>46316</v>
      </c>
      <c r="F161" t="inlineStr">
        <is>
          <t>VÄSTMANLANDS LÄN</t>
        </is>
      </c>
      <c r="G161" t="inlineStr">
        <is>
          <t>NORBERG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46316</v>
      </c>
      <c r="F162" t="inlineStr">
        <is>
          <t>VÄSTMANLANDS LÄN</t>
        </is>
      </c>
      <c r="G162" t="inlineStr">
        <is>
          <t>NORBERG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46316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45063</v>
      </c>
      <c r="E164" s="1" t="n">
        <v>46316</v>
      </c>
      <c r="F164" t="inlineStr">
        <is>
          <t>VÄSTMANLANDS LÄN</t>
        </is>
      </c>
      <c r="G164" t="inlineStr">
        <is>
          <t>NORBERG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46316</v>
      </c>
      <c r="F165" t="inlineStr">
        <is>
          <t>VÄSTMANLANDS LÄN</t>
        </is>
      </c>
      <c r="G165" t="inlineStr">
        <is>
          <t>NORBERG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45049</v>
      </c>
      <c r="E166" s="1" t="n">
        <v>46316</v>
      </c>
      <c r="F166" t="inlineStr">
        <is>
          <t>VÄSTMANLANDS LÄN</t>
        </is>
      </c>
      <c r="G166" t="inlineStr">
        <is>
          <t>NORBERG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46303</v>
      </c>
      <c r="E167" s="1" t="n">
        <v>46316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46303</v>
      </c>
      <c r="E168" s="1" t="n">
        <v>46316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46303</v>
      </c>
      <c r="E169" s="1" t="n">
        <v>46316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67356-2021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44523</v>
      </c>
      <c r="E170" s="1" t="n">
        <v>46316</v>
      </c>
      <c r="F170" t="inlineStr">
        <is>
          <t>VÄSTMANLANDS LÄN</t>
        </is>
      </c>
      <c r="G170" t="inlineStr">
        <is>
          <t>NORBERG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23702-2024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45454</v>
      </c>
      <c r="E171" s="1" t="n">
        <v>46316</v>
      </c>
      <c r="F171" t="inlineStr">
        <is>
          <t>VÄSTMANLANDS LÄN</t>
        </is>
      </c>
      <c r="G171" t="inlineStr">
        <is>
          <t>NORBERG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46316</v>
      </c>
      <c r="F172" t="inlineStr">
        <is>
          <t>VÄSTMANLANDS LÄN</t>
        </is>
      </c>
      <c r="G172" t="inlineStr">
        <is>
          <t>NORBERG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46093</v>
      </c>
      <c r="E173" s="1" t="n">
        <v>46316</v>
      </c>
      <c r="F173" t="inlineStr">
        <is>
          <t>VÄSTMANLANDS LÄN</t>
        </is>
      </c>
      <c r="G173" t="inlineStr">
        <is>
          <t>NORBERG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45233</v>
      </c>
      <c r="E174" s="1" t="n">
        <v>46316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46316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46316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35731-2026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46265</v>
      </c>
      <c r="E177" s="1" t="n">
        <v>46316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46316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45121</v>
      </c>
      <c r="E179" s="1" t="n">
        <v>46316</v>
      </c>
      <c r="F179" t="inlineStr">
        <is>
          <t>VÄSTMANLANDS LÄN</t>
        </is>
      </c>
      <c r="G179" t="inlineStr">
        <is>
          <t>NORBERG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45028</v>
      </c>
      <c r="E180" s="1" t="n">
        <v>46316</v>
      </c>
      <c r="F180" t="inlineStr">
        <is>
          <t>VÄSTMANLANDS LÄN</t>
        </is>
      </c>
      <c r="G180" t="inlineStr">
        <is>
          <t>NORBERG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46268</v>
      </c>
      <c r="E181" s="1" t="n">
        <v>46316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45089</v>
      </c>
      <c r="E182" s="1" t="n">
        <v>46316</v>
      </c>
      <c r="F182" t="inlineStr">
        <is>
          <t>VÄSTMANLANDS LÄN</t>
        </is>
      </c>
      <c r="G182" t="inlineStr">
        <is>
          <t>NORBERG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45567</v>
      </c>
      <c r="E183" s="1" t="n">
        <v>46316</v>
      </c>
      <c r="F183" t="inlineStr">
        <is>
          <t>VÄSTMANLANDS LÄN</t>
        </is>
      </c>
      <c r="G183" t="inlineStr">
        <is>
          <t>NORBERG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24540-2022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44727</v>
      </c>
      <c r="E184" s="1" t="n">
        <v>46316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51798-2024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45607</v>
      </c>
      <c r="E185" s="1" t="n">
        <v>46316</v>
      </c>
      <c r="F185" t="inlineStr">
        <is>
          <t>VÄSTMANLANDS LÄN</t>
        </is>
      </c>
      <c r="G185" t="inlineStr">
        <is>
          <t>NORBERG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11099-2023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46316</v>
      </c>
      <c r="F186" t="inlineStr">
        <is>
          <t>VÄSTMANLANDS LÄN</t>
        </is>
      </c>
      <c r="G186" t="inlineStr">
        <is>
          <t>NORBERG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40144-2023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46316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45169</v>
      </c>
      <c r="E188" s="1" t="n">
        <v>46316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21232-2024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45440</v>
      </c>
      <c r="E189" s="1" t="n">
        <v>46316</v>
      </c>
      <c r="F189" t="inlineStr">
        <is>
          <t>VÄSTMANLANDS LÄN</t>
        </is>
      </c>
      <c r="G189" t="inlineStr">
        <is>
          <t>NORBERG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45065-2023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45191</v>
      </c>
      <c r="E190" s="1" t="n">
        <v>46316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45196</v>
      </c>
      <c r="E191" s="1" t="n">
        <v>46316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45390</v>
      </c>
      <c r="E192" s="1" t="n">
        <v>46316</v>
      </c>
      <c r="F192" t="inlineStr">
        <is>
          <t>VÄSTMANLANDS LÄN</t>
        </is>
      </c>
      <c r="G192" t="inlineStr">
        <is>
          <t>NORBERG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46316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46316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46316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2026-10-21T02:02:47Z</dcterms:created>
  <dcterms:modified xmlns:dcterms="http://purl.org/dc/terms/" xmlns:xsi="http://www.w3.org/2001/XMLSchema-instance" xsi:type="dcterms:W3CDTF">2026-10-21T02:02:47Z</dcterms:modified>
</cp:coreProperties>
</file>