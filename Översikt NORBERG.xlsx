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45343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45343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45343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45343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59891-2019</t>
        </is>
      </c>
      <c r="B18" s="1" t="n">
        <v>43774</v>
      </c>
      <c r="C18" s="1" t="n">
        <v>45343</v>
      </c>
      <c r="D18" t="inlineStr">
        <is>
          <t>VÄSTMANLANDS LÄN</t>
        </is>
      </c>
      <c r="E18" t="inlineStr">
        <is>
          <t>NORBERG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HYPERLINK("https://klasma.github.io/Logging_1962/artfynd/A 59891-2019 artfynd.xlsx", "A 59891-2019")</f>
        <v/>
      </c>
      <c r="T18">
        <f>HYPERLINK("https://klasma.github.io/Logging_1962/kartor/A 59891-2019 karta.png", "A 59891-2019")</f>
        <v/>
      </c>
      <c r="V18">
        <f>HYPERLINK("https://klasma.github.io/Logging_1962/klagomål/A 59891-2019 FSC-klagomål.docx", "A 59891-2019")</f>
        <v/>
      </c>
      <c r="W18">
        <f>HYPERLINK("https://klasma.github.io/Logging_1962/klagomålsmail/A 59891-2019 FSC-klagomål mail.docx", "A 59891-2019")</f>
        <v/>
      </c>
      <c r="X18">
        <f>HYPERLINK("https://klasma.github.io/Logging_1962/tillsyn/A 59891-2019 tillsynsbegäran.docx", "A 59891-2019")</f>
        <v/>
      </c>
      <c r="Y18">
        <f>HYPERLINK("https://klasma.github.io/Logging_1962/tillsynsmail/A 59891-2019 tillsynsbegäran mail.docx", "A 59891-2019")</f>
        <v/>
      </c>
    </row>
    <row r="19" ht="15" customHeight="1">
      <c r="A19" t="inlineStr">
        <is>
          <t>A 25391-2021</t>
        </is>
      </c>
      <c r="B19" s="1" t="n">
        <v>44342</v>
      </c>
      <c r="C19" s="1" t="n">
        <v>45343</v>
      </c>
      <c r="D19" t="inlineStr">
        <is>
          <t>VÄSTMANLANDS LÄN</t>
        </is>
      </c>
      <c r="E19" t="inlineStr">
        <is>
          <t>NORBERG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HYPERLINK("https://klasma.github.io/Logging_1962/artfynd/A 25391-2021 artfynd.xlsx", "A 25391-2021")</f>
        <v/>
      </c>
      <c r="T19">
        <f>HYPERLINK("https://klasma.github.io/Logging_1962/kartor/A 25391-2021 karta.png", "A 25391-2021")</f>
        <v/>
      </c>
      <c r="V19">
        <f>HYPERLINK("https://klasma.github.io/Logging_1962/klagomål/A 25391-2021 FSC-klagomål.docx", "A 25391-2021")</f>
        <v/>
      </c>
      <c r="W19">
        <f>HYPERLINK("https://klasma.github.io/Logging_1962/klagomålsmail/A 25391-2021 FSC-klagomål mail.docx", "A 25391-2021")</f>
        <v/>
      </c>
      <c r="X19">
        <f>HYPERLINK("https://klasma.github.io/Logging_1962/tillsyn/A 25391-2021 tillsynsbegäran.docx", "A 25391-2021")</f>
        <v/>
      </c>
      <c r="Y19">
        <f>HYPERLINK("https://klasma.github.io/Logging_1962/tillsynsmail/A 25391-2021 tillsynsbegäran mail.docx", "A 25391-2021")</f>
        <v/>
      </c>
    </row>
    <row r="20" ht="15" customHeight="1">
      <c r="A20" t="inlineStr">
        <is>
          <t>A 56825-2021</t>
        </is>
      </c>
      <c r="B20" s="1" t="n">
        <v>44480</v>
      </c>
      <c r="C20" s="1" t="n">
        <v>45343</v>
      </c>
      <c r="D20" t="inlineStr">
        <is>
          <t>VÄSTMANLANDS LÄN</t>
        </is>
      </c>
      <c r="E20" t="inlineStr">
        <is>
          <t>NORBERG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HYPERLINK("https://klasma.github.io/Logging_1962/artfynd/A 56825-2021 artfynd.xlsx", "A 56825-2021")</f>
        <v/>
      </c>
      <c r="T20">
        <f>HYPERLINK("https://klasma.github.io/Logging_1962/kartor/A 56825-2021 karta.png", "A 56825-2021")</f>
        <v/>
      </c>
      <c r="V20">
        <f>HYPERLINK("https://klasma.github.io/Logging_1962/klagomål/A 56825-2021 FSC-klagomål.docx", "A 56825-2021")</f>
        <v/>
      </c>
      <c r="W20">
        <f>HYPERLINK("https://klasma.github.io/Logging_1962/klagomålsmail/A 56825-2021 FSC-klagomål mail.docx", "A 56825-2021")</f>
        <v/>
      </c>
      <c r="X20">
        <f>HYPERLINK("https://klasma.github.io/Logging_1962/tillsyn/A 56825-2021 tillsynsbegäran.docx", "A 56825-2021")</f>
        <v/>
      </c>
      <c r="Y20">
        <f>HYPERLINK("https://klasma.github.io/Logging_1962/tillsynsmail/A 56825-2021 tillsynsbegäran mail.docx", "A 56825-2021")</f>
        <v/>
      </c>
    </row>
    <row r="21" ht="15" customHeight="1">
      <c r="A21" t="inlineStr">
        <is>
          <t>A 9872-2022</t>
        </is>
      </c>
      <c r="B21" s="1" t="n">
        <v>44620</v>
      </c>
      <c r="C21" s="1" t="n">
        <v>45343</v>
      </c>
      <c r="D21" t="inlineStr">
        <is>
          <t>VÄSTMANLANDS LÄN</t>
        </is>
      </c>
      <c r="E21" t="inlineStr">
        <is>
          <t>NORBERG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HYPERLINK("https://klasma.github.io/Logging_1962/artfynd/A 9872-2022 artfynd.xlsx", "A 9872-2022")</f>
        <v/>
      </c>
      <c r="T21">
        <f>HYPERLINK("https://klasma.github.io/Logging_1962/kartor/A 9872-2022 karta.png", "A 9872-2022")</f>
        <v/>
      </c>
      <c r="V21">
        <f>HYPERLINK("https://klasma.github.io/Logging_1962/klagomål/A 9872-2022 FSC-klagomål.docx", "A 9872-2022")</f>
        <v/>
      </c>
      <c r="W21">
        <f>HYPERLINK("https://klasma.github.io/Logging_1962/klagomålsmail/A 9872-2022 FSC-klagomål mail.docx", "A 9872-2022")</f>
        <v/>
      </c>
      <c r="X21">
        <f>HYPERLINK("https://klasma.github.io/Logging_1962/tillsyn/A 9872-2022 tillsynsbegäran.docx", "A 9872-2022")</f>
        <v/>
      </c>
      <c r="Y21">
        <f>HYPERLINK("https://klasma.github.io/Logging_1962/tillsynsmail/A 9872-2022 tillsynsbegäran mail.docx", "A 9872-2022")</f>
        <v/>
      </c>
    </row>
    <row r="22" ht="15" customHeight="1">
      <c r="A22" t="inlineStr">
        <is>
          <t>A 41745-2022</t>
        </is>
      </c>
      <c r="B22" s="1" t="n">
        <v>44827</v>
      </c>
      <c r="C22" s="1" t="n">
        <v>45343</v>
      </c>
      <c r="D22" t="inlineStr">
        <is>
          <t>VÄSTMANLANDS LÄN</t>
        </is>
      </c>
      <c r="E22" t="inlineStr">
        <is>
          <t>NORBERG</t>
        </is>
      </c>
      <c r="G22" t="n">
        <v>12.7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HYPERLINK("https://klasma.github.io/Logging_1962/artfynd/A 41745-2022 artfynd.xlsx", "A 41745-2022")</f>
        <v/>
      </c>
      <c r="T22">
        <f>HYPERLINK("https://klasma.github.io/Logging_1962/kartor/A 41745-2022 karta.png", "A 41745-2022")</f>
        <v/>
      </c>
      <c r="V22">
        <f>HYPERLINK("https://klasma.github.io/Logging_1962/klagomål/A 41745-2022 FSC-klagomål.docx", "A 41745-2022")</f>
        <v/>
      </c>
      <c r="W22">
        <f>HYPERLINK("https://klasma.github.io/Logging_1962/klagomålsmail/A 41745-2022 FSC-klagomål mail.docx", "A 41745-2022")</f>
        <v/>
      </c>
      <c r="X22">
        <f>HYPERLINK("https://klasma.github.io/Logging_1962/tillsyn/A 41745-2022 tillsynsbegäran.docx", "A 41745-2022")</f>
        <v/>
      </c>
      <c r="Y22">
        <f>HYPERLINK("https://klasma.github.io/Logging_1962/tillsynsmail/A 41745-2022 tillsynsbegäran mail.docx", "A 41745-2022")</f>
        <v/>
      </c>
      <c r="Z22">
        <f>HYPERLINK("https://klasma.github.io/Logging_1962/fåglar/A 41745-2022 prioriterade fågelarter.docx", "A 41745-2022")</f>
        <v/>
      </c>
    </row>
    <row r="23" ht="15" customHeight="1">
      <c r="A23" t="inlineStr">
        <is>
          <t>A 52304-2022</t>
        </is>
      </c>
      <c r="B23" s="1" t="n">
        <v>44869</v>
      </c>
      <c r="C23" s="1" t="n">
        <v>45343</v>
      </c>
      <c r="D23" t="inlineStr">
        <is>
          <t>VÄSTMANLANDS LÄN</t>
        </is>
      </c>
      <c r="E23" t="inlineStr">
        <is>
          <t>NORBERG</t>
        </is>
      </c>
      <c r="G23" t="n">
        <v>14.5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HYPERLINK("https://klasma.github.io/Logging_1962/artfynd/A 52304-2022 artfynd.xlsx", "A 52304-2022")</f>
        <v/>
      </c>
      <c r="T23">
        <f>HYPERLINK("https://klasma.github.io/Logging_1962/kartor/A 52304-2022 karta.png", "A 52304-2022")</f>
        <v/>
      </c>
      <c r="V23">
        <f>HYPERLINK("https://klasma.github.io/Logging_1962/klagomål/A 52304-2022 FSC-klagomål.docx", "A 52304-2022")</f>
        <v/>
      </c>
      <c r="W23">
        <f>HYPERLINK("https://klasma.github.io/Logging_1962/klagomålsmail/A 52304-2022 FSC-klagomål mail.docx", "A 52304-2022")</f>
        <v/>
      </c>
      <c r="X23">
        <f>HYPERLINK("https://klasma.github.io/Logging_1962/tillsyn/A 52304-2022 tillsynsbegäran.docx", "A 52304-2022")</f>
        <v/>
      </c>
      <c r="Y23">
        <f>HYPERLINK("https://klasma.github.io/Logging_1962/tillsynsmail/A 52304-2022 tillsynsbegäran mail.docx", "A 52304-2022")</f>
        <v/>
      </c>
    </row>
    <row r="24" ht="15" customHeight="1">
      <c r="A24" t="inlineStr">
        <is>
          <t>A 23087-2023</t>
        </is>
      </c>
      <c r="B24" s="1" t="n">
        <v>45075</v>
      </c>
      <c r="C24" s="1" t="n">
        <v>45343</v>
      </c>
      <c r="D24" t="inlineStr">
        <is>
          <t>VÄSTMANLANDS LÄN</t>
        </is>
      </c>
      <c r="E24" t="inlineStr">
        <is>
          <t>NORBERG</t>
        </is>
      </c>
      <c r="F24" t="inlineStr">
        <is>
          <t>Bergvik skog väst AB</t>
        </is>
      </c>
      <c r="G24" t="n">
        <v>8.4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HYPERLINK("https://klasma.github.io/Logging_1962/artfynd/A 23087-2023 artfynd.xlsx", "A 23087-2023")</f>
        <v/>
      </c>
      <c r="T24">
        <f>HYPERLINK("https://klasma.github.io/Logging_1962/kartor/A 23087-2023 karta.png", "A 23087-2023")</f>
        <v/>
      </c>
      <c r="V24">
        <f>HYPERLINK("https://klasma.github.io/Logging_1962/klagomål/A 23087-2023 FSC-klagomål.docx", "A 23087-2023")</f>
        <v/>
      </c>
      <c r="W24">
        <f>HYPERLINK("https://klasma.github.io/Logging_1962/klagomålsmail/A 23087-2023 FSC-klagomål mail.docx", "A 23087-2023")</f>
        <v/>
      </c>
      <c r="X24">
        <f>HYPERLINK("https://klasma.github.io/Logging_1962/tillsyn/A 23087-2023 tillsynsbegäran.docx", "A 23087-2023")</f>
        <v/>
      </c>
      <c r="Y24">
        <f>HYPERLINK("https://klasma.github.io/Logging_1962/tillsynsmail/A 23087-2023 tillsynsbegäran mail.docx", "A 23087-2023")</f>
        <v/>
      </c>
    </row>
    <row r="25" ht="15" customHeight="1">
      <c r="A25" t="inlineStr">
        <is>
          <t>A 23690-2023</t>
        </is>
      </c>
      <c r="B25" s="1" t="n">
        <v>45077</v>
      </c>
      <c r="C25" s="1" t="n">
        <v>45343</v>
      </c>
      <c r="D25" t="inlineStr">
        <is>
          <t>VÄSTMANLANDS LÄN</t>
        </is>
      </c>
      <c r="E25" t="inlineStr">
        <is>
          <t>NORBERG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HYPERLINK("https://klasma.github.io/Logging_1962/artfynd/A 23690-2023 artfynd.xlsx", "A 23690-2023")</f>
        <v/>
      </c>
      <c r="T25">
        <f>HYPERLINK("https://klasma.github.io/Logging_1962/kartor/A 23690-2023 karta.png", "A 23690-2023")</f>
        <v/>
      </c>
      <c r="U25">
        <f>HYPERLINK("https://klasma.github.io/Logging_1962/knärot/A 23690-2023 karta knärot.png", "A 23690-2023")</f>
        <v/>
      </c>
      <c r="V25">
        <f>HYPERLINK("https://klasma.github.io/Logging_1962/klagomål/A 23690-2023 FSC-klagomål.docx", "A 23690-2023")</f>
        <v/>
      </c>
      <c r="W25">
        <f>HYPERLINK("https://klasma.github.io/Logging_1962/klagomålsmail/A 23690-2023 FSC-klagomål mail.docx", "A 23690-2023")</f>
        <v/>
      </c>
      <c r="X25">
        <f>HYPERLINK("https://klasma.github.io/Logging_1962/tillsyn/A 23690-2023 tillsynsbegäran.docx", "A 23690-2023")</f>
        <v/>
      </c>
      <c r="Y25">
        <f>HYPERLINK("https://klasma.github.io/Logging_1962/tillsynsmail/A 23690-2023 tillsynsbegäran mail.docx", "A 23690-2023")</f>
        <v/>
      </c>
    </row>
    <row r="26" ht="15" customHeight="1">
      <c r="A26" t="inlineStr">
        <is>
          <t>A 36248-2018</t>
        </is>
      </c>
      <c r="B26" s="1" t="n">
        <v>43328</v>
      </c>
      <c r="C26" s="1" t="n">
        <v>45343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37868-2018</t>
        </is>
      </c>
      <c r="B27" s="1" t="n">
        <v>43335</v>
      </c>
      <c r="C27" s="1" t="n">
        <v>45343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39958-2018</t>
        </is>
      </c>
      <c r="B28" s="1" t="n">
        <v>43343</v>
      </c>
      <c r="C28" s="1" t="n">
        <v>45343</v>
      </c>
      <c r="D28" t="inlineStr">
        <is>
          <t>VÄSTMANLANDS LÄN</t>
        </is>
      </c>
      <c r="E28" t="inlineStr">
        <is>
          <t>NORBERG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41374-2018</t>
        </is>
      </c>
      <c r="B29" s="1" t="n">
        <v>43346</v>
      </c>
      <c r="C29" s="1" t="n">
        <v>45343</v>
      </c>
      <c r="D29" t="inlineStr">
        <is>
          <t>VÄSTMANLANDS LÄN</t>
        </is>
      </c>
      <c r="E29" t="inlineStr">
        <is>
          <t>NORBERG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42745-2018</t>
        </is>
      </c>
      <c r="B30" s="1" t="n">
        <v>43350</v>
      </c>
      <c r="C30" s="1" t="n">
        <v>45343</v>
      </c>
      <c r="D30" t="inlineStr">
        <is>
          <t>VÄSTMANLANDS LÄN</t>
        </is>
      </c>
      <c r="E30" t="inlineStr">
        <is>
          <t>NORBERG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43317-2018</t>
        </is>
      </c>
      <c r="B31" s="1" t="n">
        <v>43353</v>
      </c>
      <c r="C31" s="1" t="n">
        <v>45343</v>
      </c>
      <c r="D31" t="inlineStr">
        <is>
          <t>VÄSTMANLANDS LÄN</t>
        </is>
      </c>
      <c r="E31" t="inlineStr">
        <is>
          <t>NORBERG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43378-2018</t>
        </is>
      </c>
      <c r="B32" s="1" t="n">
        <v>43356</v>
      </c>
      <c r="C32" s="1" t="n">
        <v>45343</v>
      </c>
      <c r="D32" t="inlineStr">
        <is>
          <t>VÄSTMANLANDS LÄN</t>
        </is>
      </c>
      <c r="E32" t="inlineStr">
        <is>
          <t>NORBERG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43363-2018</t>
        </is>
      </c>
      <c r="B33" s="1" t="n">
        <v>43356</v>
      </c>
      <c r="C33" s="1" t="n">
        <v>45343</v>
      </c>
      <c r="D33" t="inlineStr">
        <is>
          <t>VÄSTMANLANDS LÄN</t>
        </is>
      </c>
      <c r="E33" t="inlineStr">
        <is>
          <t>NORBERG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50552-2018</t>
        </is>
      </c>
      <c r="B34" s="1" t="n">
        <v>43377</v>
      </c>
      <c r="C34" s="1" t="n">
        <v>45343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54313-2018</t>
        </is>
      </c>
      <c r="B35" s="1" t="n">
        <v>43389</v>
      </c>
      <c r="C35" s="1" t="n">
        <v>45343</v>
      </c>
      <c r="D35" t="inlineStr">
        <is>
          <t>VÄSTMANLANDS LÄN</t>
        </is>
      </c>
      <c r="E35" t="inlineStr">
        <is>
          <t>NORBERG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63940-2018</t>
        </is>
      </c>
      <c r="B36" s="1" t="n">
        <v>43389</v>
      </c>
      <c r="C36" s="1" t="n">
        <v>45343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52700-2018</t>
        </is>
      </c>
      <c r="B37" s="1" t="n">
        <v>43389</v>
      </c>
      <c r="C37" s="1" t="n">
        <v>45343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55584-2018</t>
        </is>
      </c>
      <c r="B38" s="1" t="n">
        <v>43397</v>
      </c>
      <c r="C38" s="1" t="n">
        <v>45343</v>
      </c>
      <c r="D38" t="inlineStr">
        <is>
          <t>VÄSTMANLANDS LÄN</t>
        </is>
      </c>
      <c r="E38" t="inlineStr">
        <is>
          <t>NORBERG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63994-2018</t>
        </is>
      </c>
      <c r="B39" s="1" t="n">
        <v>43418</v>
      </c>
      <c r="C39" s="1" t="n">
        <v>45343</v>
      </c>
      <c r="D39" t="inlineStr">
        <is>
          <t>VÄSTMANLANDS LÄN</t>
        </is>
      </c>
      <c r="E39" t="inlineStr">
        <is>
          <t>NORBERG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62605-2018</t>
        </is>
      </c>
      <c r="B40" s="1" t="n">
        <v>43426</v>
      </c>
      <c r="C40" s="1" t="n">
        <v>45343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69523-2018</t>
        </is>
      </c>
      <c r="B41" s="1" t="n">
        <v>43444</v>
      </c>
      <c r="C41" s="1" t="n">
        <v>45343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69535-2018</t>
        </is>
      </c>
      <c r="B42" s="1" t="n">
        <v>43444</v>
      </c>
      <c r="C42" s="1" t="n">
        <v>45343</v>
      </c>
      <c r="D42" t="inlineStr">
        <is>
          <t>VÄSTMANLANDS LÄN</t>
        </is>
      </c>
      <c r="E42" t="inlineStr">
        <is>
          <t>NORBERG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70068-2018</t>
        </is>
      </c>
      <c r="B43" s="1" t="n">
        <v>43448</v>
      </c>
      <c r="C43" s="1" t="n">
        <v>45343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70058-2018</t>
        </is>
      </c>
      <c r="B44" s="1" t="n">
        <v>43448</v>
      </c>
      <c r="C44" s="1" t="n">
        <v>45343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70848-2018</t>
        </is>
      </c>
      <c r="B45" s="1" t="n">
        <v>43452</v>
      </c>
      <c r="C45" s="1" t="n">
        <v>45343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390-2019</t>
        </is>
      </c>
      <c r="B46" s="1" t="n">
        <v>43468</v>
      </c>
      <c r="C46" s="1" t="n">
        <v>45343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342-2019</t>
        </is>
      </c>
      <c r="B47" s="1" t="n">
        <v>43468</v>
      </c>
      <c r="C47" s="1" t="n">
        <v>45343</v>
      </c>
      <c r="D47" t="inlineStr">
        <is>
          <t>VÄSTMANLANDS LÄN</t>
        </is>
      </c>
      <c r="E47" t="inlineStr">
        <is>
          <t>NORBERG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339-2019</t>
        </is>
      </c>
      <c r="B48" s="1" t="n">
        <v>43468</v>
      </c>
      <c r="C48" s="1" t="n">
        <v>45343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3010-2019</t>
        </is>
      </c>
      <c r="B49" s="1" t="n">
        <v>43473</v>
      </c>
      <c r="C49" s="1" t="n">
        <v>45343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9503-2019</t>
        </is>
      </c>
      <c r="B50" s="1" t="n">
        <v>43507</v>
      </c>
      <c r="C50" s="1" t="n">
        <v>45343</v>
      </c>
      <c r="D50" t="inlineStr">
        <is>
          <t>VÄSTMANLANDS LÄN</t>
        </is>
      </c>
      <c r="E50" t="inlineStr">
        <is>
          <t>NORBERG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9743-2019</t>
        </is>
      </c>
      <c r="B51" s="1" t="n">
        <v>43508</v>
      </c>
      <c r="C51" s="1" t="n">
        <v>45343</v>
      </c>
      <c r="D51" t="inlineStr">
        <is>
          <t>VÄSTMANLANDS LÄN</t>
        </is>
      </c>
      <c r="E51" t="inlineStr">
        <is>
          <t>NORBERG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16932-2019</t>
        </is>
      </c>
      <c r="B52" s="1" t="n">
        <v>43549</v>
      </c>
      <c r="C52" s="1" t="n">
        <v>45343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17482-2019</t>
        </is>
      </c>
      <c r="B53" s="1" t="n">
        <v>43553</v>
      </c>
      <c r="C53" s="1" t="n">
        <v>45343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17568-2019</t>
        </is>
      </c>
      <c r="B54" s="1" t="n">
        <v>43553</v>
      </c>
      <c r="C54" s="1" t="n">
        <v>45343</v>
      </c>
      <c r="D54" t="inlineStr">
        <is>
          <t>VÄSTMANLANDS LÄN</t>
        </is>
      </c>
      <c r="E54" t="inlineStr">
        <is>
          <t>NORBERG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17486-2019</t>
        </is>
      </c>
      <c r="B55" s="1" t="n">
        <v>43553</v>
      </c>
      <c r="C55" s="1" t="n">
        <v>45343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17491-2019</t>
        </is>
      </c>
      <c r="B56" s="1" t="n">
        <v>43553</v>
      </c>
      <c r="C56" s="1" t="n">
        <v>45343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17490-2019</t>
        </is>
      </c>
      <c r="B57" s="1" t="n">
        <v>43553</v>
      </c>
      <c r="C57" s="1" t="n">
        <v>45343</v>
      </c>
      <c r="D57" t="inlineStr">
        <is>
          <t>VÄSTMANLANDS LÄN</t>
        </is>
      </c>
      <c r="E57" t="inlineStr">
        <is>
          <t>NORBERG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17569-2019</t>
        </is>
      </c>
      <c r="B58" s="1" t="n">
        <v>43553</v>
      </c>
      <c r="C58" s="1" t="n">
        <v>45343</v>
      </c>
      <c r="D58" t="inlineStr">
        <is>
          <t>VÄSTMANLANDS LÄN</t>
        </is>
      </c>
      <c r="E58" t="inlineStr">
        <is>
          <t>NORBERG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20096-2019</t>
        </is>
      </c>
      <c r="B59" s="1" t="n">
        <v>43570</v>
      </c>
      <c r="C59" s="1" t="n">
        <v>45343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21396-2019</t>
        </is>
      </c>
      <c r="B60" s="1" t="n">
        <v>43580</v>
      </c>
      <c r="C60" s="1" t="n">
        <v>45343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21392-2019</t>
        </is>
      </c>
      <c r="B61" s="1" t="n">
        <v>43580</v>
      </c>
      <c r="C61" s="1" t="n">
        <v>45343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21859-2019</t>
        </is>
      </c>
      <c r="B62" s="1" t="n">
        <v>43584</v>
      </c>
      <c r="C62" s="1" t="n">
        <v>45343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23153-2019</t>
        </is>
      </c>
      <c r="B63" s="1" t="n">
        <v>43588</v>
      </c>
      <c r="C63" s="1" t="n">
        <v>45343</v>
      </c>
      <c r="D63" t="inlineStr">
        <is>
          <t>VÄSTMANLANDS LÄN</t>
        </is>
      </c>
      <c r="E63" t="inlineStr">
        <is>
          <t>NORBERG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22947-2019</t>
        </is>
      </c>
      <c r="B64" s="1" t="n">
        <v>43591</v>
      </c>
      <c r="C64" s="1" t="n">
        <v>45343</v>
      </c>
      <c r="D64" t="inlineStr">
        <is>
          <t>VÄSTMANLANDS LÄN</t>
        </is>
      </c>
      <c r="E64" t="inlineStr">
        <is>
          <t>NORBERG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22953-2019</t>
        </is>
      </c>
      <c r="B65" s="1" t="n">
        <v>43591</v>
      </c>
      <c r="C65" s="1" t="n">
        <v>45343</v>
      </c>
      <c r="D65" t="inlineStr">
        <is>
          <t>VÄSTMANLANDS LÄN</t>
        </is>
      </c>
      <c r="E65" t="inlineStr">
        <is>
          <t>NORBERG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23592-2019</t>
        </is>
      </c>
      <c r="B66" s="1" t="n">
        <v>43593</v>
      </c>
      <c r="C66" s="1" t="n">
        <v>45343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28170-2019</t>
        </is>
      </c>
      <c r="B67" s="1" t="n">
        <v>43621</v>
      </c>
      <c r="C67" s="1" t="n">
        <v>45343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28136-2019</t>
        </is>
      </c>
      <c r="B68" s="1" t="n">
        <v>43621</v>
      </c>
      <c r="C68" s="1" t="n">
        <v>45343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29832-2019</t>
        </is>
      </c>
      <c r="B69" s="1" t="n">
        <v>43629</v>
      </c>
      <c r="C69" s="1" t="n">
        <v>45343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29961-2019</t>
        </is>
      </c>
      <c r="B70" s="1" t="n">
        <v>43633</v>
      </c>
      <c r="C70" s="1" t="n">
        <v>45343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31029-2019</t>
        </is>
      </c>
      <c r="B71" s="1" t="n">
        <v>43635</v>
      </c>
      <c r="C71" s="1" t="n">
        <v>45343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31748-2019</t>
        </is>
      </c>
      <c r="B72" s="1" t="n">
        <v>43642</v>
      </c>
      <c r="C72" s="1" t="n">
        <v>45343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32245-2019</t>
        </is>
      </c>
      <c r="B73" s="1" t="n">
        <v>43643</v>
      </c>
      <c r="C73" s="1" t="n">
        <v>45343</v>
      </c>
      <c r="D73" t="inlineStr">
        <is>
          <t>VÄSTMANLANDS LÄN</t>
        </is>
      </c>
      <c r="E73" t="inlineStr">
        <is>
          <t>NORBERG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35074-2019</t>
        </is>
      </c>
      <c r="B74" s="1" t="n">
        <v>43661</v>
      </c>
      <c r="C74" s="1" t="n">
        <v>45343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37524-2019</t>
        </is>
      </c>
      <c r="B75" s="1" t="n">
        <v>43679</v>
      </c>
      <c r="C75" s="1" t="n">
        <v>45343</v>
      </c>
      <c r="D75" t="inlineStr">
        <is>
          <t>VÄSTMANLANDS LÄN</t>
        </is>
      </c>
      <c r="E75" t="inlineStr">
        <is>
          <t>NORBERG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39198-2019</t>
        </is>
      </c>
      <c r="B76" s="1" t="n">
        <v>43685</v>
      </c>
      <c r="C76" s="1" t="n">
        <v>45343</v>
      </c>
      <c r="D76" t="inlineStr">
        <is>
          <t>VÄSTMANLANDS LÄN</t>
        </is>
      </c>
      <c r="E76" t="inlineStr">
        <is>
          <t>NORBERG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45467-2019</t>
        </is>
      </c>
      <c r="B77" s="1" t="n">
        <v>43710</v>
      </c>
      <c r="C77" s="1" t="n">
        <v>45343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47217-2019</t>
        </is>
      </c>
      <c r="B78" s="1" t="n">
        <v>43720</v>
      </c>
      <c r="C78" s="1" t="n">
        <v>45343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47197-2019</t>
        </is>
      </c>
      <c r="B79" s="1" t="n">
        <v>43720</v>
      </c>
      <c r="C79" s="1" t="n">
        <v>45343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50359-2019</t>
        </is>
      </c>
      <c r="B80" s="1" t="n">
        <v>43735</v>
      </c>
      <c r="C80" s="1" t="n">
        <v>45343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55079-2019</t>
        </is>
      </c>
      <c r="B81" s="1" t="n">
        <v>43752</v>
      </c>
      <c r="C81" s="1" t="n">
        <v>45343</v>
      </c>
      <c r="D81" t="inlineStr">
        <is>
          <t>VÄSTMANLANDS LÄN</t>
        </is>
      </c>
      <c r="E81" t="inlineStr">
        <is>
          <t>NORBERG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58573-2019</t>
        </is>
      </c>
      <c r="B82" s="1" t="n">
        <v>43766</v>
      </c>
      <c r="C82" s="1" t="n">
        <v>45343</v>
      </c>
      <c r="D82" t="inlineStr">
        <is>
          <t>VÄSTMANLANDS LÄN</t>
        </is>
      </c>
      <c r="E82" t="inlineStr">
        <is>
          <t>NORBERG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58582-2019</t>
        </is>
      </c>
      <c r="B83" s="1" t="n">
        <v>43766</v>
      </c>
      <c r="C83" s="1" t="n">
        <v>45343</v>
      </c>
      <c r="D83" t="inlineStr">
        <is>
          <t>VÄSTMANLANDS LÄN</t>
        </is>
      </c>
      <c r="E83" t="inlineStr">
        <is>
          <t>NORBERG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58555-2019</t>
        </is>
      </c>
      <c r="B84" s="1" t="n">
        <v>43766</v>
      </c>
      <c r="C84" s="1" t="n">
        <v>45343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58579-2019</t>
        </is>
      </c>
      <c r="B85" s="1" t="n">
        <v>43766</v>
      </c>
      <c r="C85" s="1" t="n">
        <v>45343</v>
      </c>
      <c r="D85" t="inlineStr">
        <is>
          <t>VÄSTMANLANDS LÄN</t>
        </is>
      </c>
      <c r="E85" t="inlineStr">
        <is>
          <t>NORBERG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57997-2019</t>
        </is>
      </c>
      <c r="B86" s="1" t="n">
        <v>43769</v>
      </c>
      <c r="C86" s="1" t="n">
        <v>45343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45343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45343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45343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45343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45343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45343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45343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45343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45343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45343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45343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45343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45343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45343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45343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45343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45343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45343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45343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45343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45343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45343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45343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45343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45343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45343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45343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45343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45343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45343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45343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45343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45343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45343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45343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45343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45343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45343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45343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45343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45343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45343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45343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45343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45343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45343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45343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45343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45343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45343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45343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45343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45343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45343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45343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45343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45343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45343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45343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45343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45343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45343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45343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45343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45343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45343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45343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45343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45343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45343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45343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45343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45343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45343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45343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45343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45343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45343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45343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45343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45343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45343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45343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45343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45343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45343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45343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45343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45343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45343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45343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45343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45343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45343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45343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45343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45343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45343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45343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45343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45343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45343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45343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45343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45343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45343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45343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45343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45343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45343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45343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45343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45343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45343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45343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45343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45343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45343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45343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45343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45343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45343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45343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45343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45343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45343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45343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45343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45343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45343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45343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45343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45343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45343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45343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45343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45343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45343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45343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45343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45343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45343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45343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45343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45343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45343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45343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45343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45343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45343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45343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45343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45343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45343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45343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45343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45343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45343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45343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45343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45343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45343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45343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45343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45343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45343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45343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45343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45343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45343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45343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45343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45343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45343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45343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45343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45343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45343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45343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45343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45343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45343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45343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45343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45343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45343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45343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45343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45343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45343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45343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45343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45343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45343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45343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45343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45343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45343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45343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45343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45343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45343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45343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45343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45343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45343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45343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45343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45343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45343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45343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45343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45343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45343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45343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45343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45343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45343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45343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45343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45343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45343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45343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45343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45343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45343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45343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45343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45343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45343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45343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45343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45343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45343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45343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45343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45343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45343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45343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45343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45343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45343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2024-02-21T06:58:31Z</dcterms:created>
  <dcterms:modified xmlns:dcterms="http://purl.org/dc/terms/" xmlns:xsi="http://www.w3.org/2001/XMLSchema-instance" xsi:type="dcterms:W3CDTF">2024-02-21T06:58:31Z</dcterms:modified>
</cp:coreProperties>
</file>