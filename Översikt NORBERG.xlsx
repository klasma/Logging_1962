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46320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46320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46320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46320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46320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46320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46320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41901-2026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46320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8.5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Skogshakmossa
Fläcknycklar</t>
        </is>
      </c>
      <c r="W9">
        <f>HYPERLINK("https://klasma.github.io/Logging_1962/artfynd/A 41901-2026 artfynd.xlsx", "A 41901-2026")</f>
        <v/>
      </c>
      <c r="X9">
        <f>HYPERLINK("https://klasma.github.io/Logging_1962/kartor/A 41901-2026 karta.png", "A 41901-2026")</f>
        <v/>
      </c>
      <c r="Y9">
        <f>HYPERLINK("https://klasma.github.io/Logging_1962/kartor_geotiff/A 41901-2026 georefererad karta.tif", "A 41901-2026")</f>
        <v/>
      </c>
      <c r="AA9">
        <f>HYPERLINK("https://klasma.github.io/Logging_1962/klagomål/A 41901-2026 FSC-klagomål.docx", "A 41901-2026")</f>
        <v/>
      </c>
      <c r="AB9">
        <f>HYPERLINK("https://klasma.github.io/Logging_1962/klagomålsmail/A 41901-2026 FSC-klagomål mail.docx", "A 41901-2026")</f>
        <v/>
      </c>
      <c r="AC9">
        <f>HYPERLINK("https://klasma.github.io/Logging_1962/tillsyn/A 41901-2026 tillsynsbegäran.docx", "A 41901-2026")</f>
        <v/>
      </c>
      <c r="AD9">
        <f>HYPERLINK("https://klasma.github.io/Logging_1962/tillsynsmail/A 41901-2026 tillsynsbegäran mail.docx", "A 41901-2026")</f>
        <v/>
      </c>
    </row>
    <row r="10" ht="15" customHeight="1">
      <c r="A10" t="inlineStr">
        <is>
          <t>A 36009-2026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46320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Plattlummer
Gullviva</t>
        </is>
      </c>
      <c r="W10">
        <f>HYPERLINK("https://klasma.github.io/Logging_1962/artfynd/A 36009-2026 artfynd.xlsx", "A 36009-2026")</f>
        <v/>
      </c>
      <c r="X10">
        <f>HYPERLINK("https://klasma.github.io/Logging_1962/kartor/A 36009-2026 karta.png", "A 36009-2026")</f>
        <v/>
      </c>
      <c r="Y10">
        <f>HYPERLINK("https://klasma.github.io/Logging_1962/kartor_geotiff/A 36009-2026 georefererad karta.tif", "A 36009-2026")</f>
        <v/>
      </c>
      <c r="AA10">
        <f>HYPERLINK("https://klasma.github.io/Logging_1962/klagomål/A 36009-2026 FSC-klagomål.docx", "A 36009-2026")</f>
        <v/>
      </c>
      <c r="AB10">
        <f>HYPERLINK("https://klasma.github.io/Logging_1962/klagomålsmail/A 36009-2026 FSC-klagomål mail.docx", "A 36009-2026")</f>
        <v/>
      </c>
      <c r="AC10">
        <f>HYPERLINK("https://klasma.github.io/Logging_1962/tillsyn/A 36009-2026 tillsynsbegäran.docx", "A 36009-2026")</f>
        <v/>
      </c>
      <c r="AD10">
        <f>HYPERLINK("https://klasma.github.io/Logging_1962/tillsynsmail/A 36009-2026 tillsynsbegäran mail.docx", "A 36009-2026")</f>
        <v/>
      </c>
    </row>
    <row r="11" ht="15" customHeight="1">
      <c r="A11" t="inlineStr">
        <is>
          <t>A 26072-2023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46320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26072-2023 artfynd.xlsx", "A 26072-2023")</f>
        <v/>
      </c>
      <c r="X11">
        <f>HYPERLINK("https://klasma.github.io/Logging_1962/kartor/A 26072-2023 karta.png", "A 26072-2023")</f>
        <v/>
      </c>
      <c r="Y11">
        <f>HYPERLINK("https://klasma.github.io/Logging_1962/kartor_geotiff/A 26072-2023 georefererad karta.tif", "A 26072-2023")</f>
        <v/>
      </c>
      <c r="AA11">
        <f>HYPERLINK("https://klasma.github.io/Logging_1962/klagomål/A 26072-2023 FSC-klagomål.docx", "A 26072-2023")</f>
        <v/>
      </c>
      <c r="AB11">
        <f>HYPERLINK("https://klasma.github.io/Logging_1962/klagomålsmail/A 26072-2023 FSC-klagomål mail.docx", "A 26072-2023")</f>
        <v/>
      </c>
      <c r="AC11">
        <f>HYPERLINK("https://klasma.github.io/Logging_1962/tillsyn/A 26072-2023 tillsynsbegäran.docx", "A 26072-2023")</f>
        <v/>
      </c>
      <c r="AD11">
        <f>HYPERLINK("https://klasma.github.io/Logging_1962/tillsynsmail/A 26072-2023 tillsynsbegäran mail.docx", "A 26072-2023")</f>
        <v/>
      </c>
      <c r="AE11">
        <f>HYPERLINK("https://klasma.github.io/Logging_1962/fåglar/A 26072-2023 prioriterade fågelarter.docx", "A 26072-2023")</f>
        <v/>
      </c>
    </row>
    <row r="12" ht="15" customHeight="1">
      <c r="A12" t="inlineStr">
        <is>
          <t>A 63777-2025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46320</v>
      </c>
      <c r="F12" t="inlineStr">
        <is>
          <t>VÄSTMANLANDS LÄN</t>
        </is>
      </c>
      <c r="G12" t="inlineStr">
        <is>
          <t>NORBERG</t>
        </is>
      </c>
      <c r="I12" t="n">
        <v>3.4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8</v>
      </c>
      <c r="U12" t="n">
        <v>8</v>
      </c>
      <c r="V12" s="2" t="inlineStr">
        <is>
          <t>Spillkråka
Fläcknycklar</t>
        </is>
      </c>
      <c r="W12">
        <f>HYPERLINK("https://klasma.github.io/Logging_1962/artfynd/A 63777-2025 artfynd.xlsx", "A 63777-2025")</f>
        <v/>
      </c>
      <c r="X12">
        <f>HYPERLINK("https://klasma.github.io/Logging_1962/kartor/A 63777-2025 karta.png", "A 63777-2025")</f>
        <v/>
      </c>
      <c r="Y12">
        <f>HYPERLINK("https://klasma.github.io/Logging_1962/kartor_geotiff/A 63777-2025 georefererad karta.tif", "A 63777-2025")</f>
        <v/>
      </c>
      <c r="AA12">
        <f>HYPERLINK("https://klasma.github.io/Logging_1962/klagomål/A 63777-2025 FSC-klagomål.docx", "A 63777-2025")</f>
        <v/>
      </c>
      <c r="AB12">
        <f>HYPERLINK("https://klasma.github.io/Logging_1962/klagomålsmail/A 63777-2025 FSC-klagomål mail.docx", "A 63777-2025")</f>
        <v/>
      </c>
      <c r="AC12">
        <f>HYPERLINK("https://klasma.github.io/Logging_1962/tillsyn/A 63777-2025 tillsynsbegäran.docx", "A 63777-2025")</f>
        <v/>
      </c>
      <c r="AD12">
        <f>HYPERLINK("https://klasma.github.io/Logging_1962/tillsynsmail/A 63777-2025 tillsynsbegäran mail.docx", "A 63777-2025")</f>
        <v/>
      </c>
      <c r="AE12">
        <f>HYPERLINK("https://klasma.github.io/Logging_1962/fåglar/A 63777-2025 prioriterade fågelarter.docx", "A 63777-2025")</f>
        <v/>
      </c>
    </row>
    <row r="13" ht="15" customHeight="1">
      <c r="A13" t="inlineStr">
        <is>
          <t>A 55711-2024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45622</v>
      </c>
      <c r="E13" s="1" t="n">
        <v>46320</v>
      </c>
      <c r="F13" t="inlineStr">
        <is>
          <t>VÄSTMANLANDS LÄN</t>
        </is>
      </c>
      <c r="G13" t="inlineStr">
        <is>
          <t>NORBERG</t>
        </is>
      </c>
      <c r="I13" t="n">
        <v>2.5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Persiljespindling
Skogsknipprot</t>
        </is>
      </c>
      <c r="W13">
        <f>HYPERLINK("https://klasma.github.io/Logging_1962/artfynd/A 55711-2024 artfynd.xlsx", "A 55711-2024")</f>
        <v/>
      </c>
      <c r="X13">
        <f>HYPERLINK("https://klasma.github.io/Logging_1962/kartor/A 55711-2024 karta.png", "A 55711-2024")</f>
        <v/>
      </c>
      <c r="Y13">
        <f>HYPERLINK("https://klasma.github.io/Logging_1962/kartor_geotiff/A 55711-2024 georefererad karta.tif", "A 55711-2024")</f>
        <v/>
      </c>
      <c r="AA13">
        <f>HYPERLINK("https://klasma.github.io/Logging_1962/klagomål/A 55711-2024 FSC-klagomål.docx", "A 55711-2024")</f>
        <v/>
      </c>
      <c r="AB13">
        <f>HYPERLINK("https://klasma.github.io/Logging_1962/klagomålsmail/A 55711-2024 FSC-klagomål mail.docx", "A 55711-2024")</f>
        <v/>
      </c>
      <c r="AC13">
        <f>HYPERLINK("https://klasma.github.io/Logging_1962/tillsyn/A 55711-2024 tillsynsbegäran.docx", "A 55711-2024")</f>
        <v/>
      </c>
      <c r="AD13">
        <f>HYPERLINK("https://klasma.github.io/Logging_1962/tillsynsmail/A 55711-2024 tillsynsbegäran mail.docx", "A 55711-2024")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46320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46320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46320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46320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38927-2026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46282</v>
      </c>
      <c r="E18" s="1" t="n">
        <v>46320</v>
      </c>
      <c r="F18" t="inlineStr">
        <is>
          <t>VÄSTMANLANDS LÄN</t>
        </is>
      </c>
      <c r="G18" t="inlineStr">
        <is>
          <t>NORBERG</t>
        </is>
      </c>
      <c r="I18" t="n">
        <v>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HYPERLINK("https://klasma.github.io/Logging_1962/artfynd/A 38927-2026 artfynd.xlsx", "A 38927-2026")</f>
        <v/>
      </c>
      <c r="X18">
        <f>HYPERLINK("https://klasma.github.io/Logging_1962/kartor/A 38927-2026 karta.png", "A 38927-2026")</f>
        <v/>
      </c>
      <c r="Y18">
        <f>HYPERLINK("https://klasma.github.io/Logging_1962/kartor_geotiff/A 38927-2026 georefererad karta.tif", "A 38927-2026")</f>
        <v/>
      </c>
      <c r="AA18">
        <f>HYPERLINK("https://klasma.github.io/Logging_1962/klagomål/A 38927-2026 FSC-klagomål.docx", "A 38927-2026")</f>
        <v/>
      </c>
      <c r="AB18">
        <f>HYPERLINK("https://klasma.github.io/Logging_1962/klagomålsmail/A 38927-2026 FSC-klagomål mail.docx", "A 38927-2026")</f>
        <v/>
      </c>
      <c r="AC18">
        <f>HYPERLINK("https://klasma.github.io/Logging_1962/tillsyn/A 38927-2026 tillsynsbegäran.docx", "A 38927-2026")</f>
        <v/>
      </c>
      <c r="AD18">
        <f>HYPERLINK("https://klasma.github.io/Logging_1962/tillsynsmail/A 38927-2026 tillsynsbegäran mail.docx", "A 38927-2026")</f>
        <v/>
      </c>
    </row>
    <row r="19" ht="15" customHeight="1">
      <c r="A19" t="inlineStr">
        <is>
          <t>A 52063-2022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44873</v>
      </c>
      <c r="E19" s="1" t="n">
        <v>46320</v>
      </c>
      <c r="F19" t="inlineStr">
        <is>
          <t>VÄSTMANLANDS LÄN</t>
        </is>
      </c>
      <c r="G19" t="inlineStr">
        <is>
          <t>NORBERG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52063-2022 artfynd.xlsx", "A 52063-2022")</f>
        <v/>
      </c>
      <c r="X19">
        <f>HYPERLINK("https://klasma.github.io/Logging_1962/kartor/A 52063-2022 karta.png", "A 52063-2022")</f>
        <v/>
      </c>
      <c r="Y19">
        <f>HYPERLINK("https://klasma.github.io/Logging_1962/kartor_geotiff/A 52063-2022 georefererad karta.tif", "A 52063-2022")</f>
        <v/>
      </c>
      <c r="AA19">
        <f>HYPERLINK("https://klasma.github.io/Logging_1962/klagomål/A 52063-2022 FSC-klagomål.docx", "A 52063-2022")</f>
        <v/>
      </c>
      <c r="AB19">
        <f>HYPERLINK("https://klasma.github.io/Logging_1962/klagomålsmail/A 52063-2022 FSC-klagomål mail.docx", "A 52063-2022")</f>
        <v/>
      </c>
      <c r="AC19">
        <f>HYPERLINK("https://klasma.github.io/Logging_1962/tillsyn/A 52063-2022 tillsynsbegäran.docx", "A 52063-2022")</f>
        <v/>
      </c>
      <c r="AD19">
        <f>HYPERLINK("https://klasma.github.io/Logging_1962/tillsynsmail/A 52063-2022 tillsynsbegäran mail.docx", "A 52063-2022")</f>
        <v/>
      </c>
    </row>
    <row r="20" ht="15" customHeight="1">
      <c r="A20" t="inlineStr">
        <is>
          <t>A 34230-2026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46320</v>
      </c>
      <c r="F20" t="inlineStr">
        <is>
          <t>VÄSTMANLANDS LÄN</t>
        </is>
      </c>
      <c r="G20" t="inlineStr">
        <is>
          <t>NORBERG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34230-2026 artfynd.xlsx", "A 34230-2026")</f>
        <v/>
      </c>
      <c r="X20">
        <f>HYPERLINK("https://klasma.github.io/Logging_1962/kartor/A 34230-2026 karta.png", "A 34230-2026")</f>
        <v/>
      </c>
      <c r="Y20">
        <f>HYPERLINK("https://klasma.github.io/Logging_1962/kartor_geotiff/A 34230-2026 georefererad karta.tif", "A 34230-2026")</f>
        <v/>
      </c>
      <c r="AA20">
        <f>HYPERLINK("https://klasma.github.io/Logging_1962/klagomål/A 34230-2026 FSC-klagomål.docx", "A 34230-2026")</f>
        <v/>
      </c>
      <c r="AB20">
        <f>HYPERLINK("https://klasma.github.io/Logging_1962/klagomålsmail/A 34230-2026 FSC-klagomål mail.docx", "A 34230-2026")</f>
        <v/>
      </c>
      <c r="AC20">
        <f>HYPERLINK("https://klasma.github.io/Logging_1962/tillsyn/A 34230-2026 tillsynsbegäran.docx", "A 34230-2026")</f>
        <v/>
      </c>
      <c r="AD20">
        <f>HYPERLINK("https://klasma.github.io/Logging_1962/tillsynsmail/A 34230-2026 tillsynsbegäran mail.docx", "A 34230-2026")</f>
        <v/>
      </c>
    </row>
    <row r="21" ht="15" customHeight="1">
      <c r="A21" t="inlineStr">
        <is>
          <t>A 34234-2026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46253</v>
      </c>
      <c r="E21" s="1" t="n">
        <v>46320</v>
      </c>
      <c r="F21" t="inlineStr">
        <is>
          <t>VÄSTMANLANDS LÄN</t>
        </is>
      </c>
      <c r="G21" t="inlineStr">
        <is>
          <t>NORBERG</t>
        </is>
      </c>
      <c r="I21" t="n">
        <v>0.8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Tvåblad</t>
        </is>
      </c>
      <c r="W21">
        <f>HYPERLINK("https://klasma.github.io/Logging_1962/artfynd/A 34234-2026 artfynd.xlsx", "A 34234-2026")</f>
        <v/>
      </c>
      <c r="X21">
        <f>HYPERLINK("https://klasma.github.io/Logging_1962/kartor/A 34234-2026 karta.png", "A 34234-2026")</f>
        <v/>
      </c>
      <c r="Y21">
        <f>HYPERLINK("https://klasma.github.io/Logging_1962/kartor_geotiff/A 34234-2026 georefererad karta.tif", "A 34234-2026")</f>
        <v/>
      </c>
      <c r="AA21">
        <f>HYPERLINK("https://klasma.github.io/Logging_1962/klagomål/A 34234-2026 FSC-klagomål.docx", "A 34234-2026")</f>
        <v/>
      </c>
      <c r="AB21">
        <f>HYPERLINK("https://klasma.github.io/Logging_1962/klagomålsmail/A 34234-2026 FSC-klagomål mail.docx", "A 34234-2026")</f>
        <v/>
      </c>
      <c r="AC21">
        <f>HYPERLINK("https://klasma.github.io/Logging_1962/tillsyn/A 34234-2026 tillsynsbegäran.docx", "A 34234-2026")</f>
        <v/>
      </c>
      <c r="AD21">
        <f>HYPERLINK("https://klasma.github.io/Logging_1962/tillsynsmail/A 34234-2026 tillsynsbegäran mail.docx", "A 34234-2026")</f>
        <v/>
      </c>
    </row>
    <row r="22" ht="15" customHeight="1">
      <c r="A22" t="inlineStr">
        <is>
          <t>A 41909-2026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46303</v>
      </c>
      <c r="E22" s="1" t="n">
        <v>46320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Plattlummer</t>
        </is>
      </c>
      <c r="W22">
        <f>HYPERLINK("https://klasma.github.io/Logging_1962/artfynd/A 41909-2026 artfynd.xlsx", "A 41909-2026")</f>
        <v/>
      </c>
      <c r="X22">
        <f>HYPERLINK("https://klasma.github.io/Logging_1962/kartor/A 41909-2026 karta.png", "A 41909-2026")</f>
        <v/>
      </c>
      <c r="Y22">
        <f>HYPERLINK("https://klasma.github.io/Logging_1962/kartor_geotiff/A 41909-2026 georefererad karta.tif", "A 41909-2026")</f>
        <v/>
      </c>
      <c r="AA22">
        <f>HYPERLINK("https://klasma.github.io/Logging_1962/klagomål/A 41909-2026 FSC-klagomål.docx", "A 41909-2026")</f>
        <v/>
      </c>
      <c r="AB22">
        <f>HYPERLINK("https://klasma.github.io/Logging_1962/klagomålsmail/A 41909-2026 FSC-klagomål mail.docx", "A 41909-2026")</f>
        <v/>
      </c>
      <c r="AC22">
        <f>HYPERLINK("https://klasma.github.io/Logging_1962/tillsyn/A 41909-2026 tillsynsbegäran.docx", "A 41909-2026")</f>
        <v/>
      </c>
      <c r="AD22">
        <f>HYPERLINK("https://klasma.github.io/Logging_1962/tillsynsmail/A 41909-2026 tillsynsbegäran mail.docx", "A 41909-2026")</f>
        <v/>
      </c>
    </row>
    <row r="23" ht="15" customHeight="1">
      <c r="A23" t="inlineStr">
        <is>
          <t>A 38017-2025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45882</v>
      </c>
      <c r="E23" s="1" t="n">
        <v>46320</v>
      </c>
      <c r="F23" t="inlineStr">
        <is>
          <t>VÄSTMANLANDS LÄN</t>
        </is>
      </c>
      <c r="G23" t="inlineStr">
        <is>
          <t>NORBERG</t>
        </is>
      </c>
      <c r="H23" t="inlineStr">
        <is>
          <t>Övriga Aktiebolag</t>
        </is>
      </c>
      <c r="I23" t="n">
        <v>15.5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HYPERLINK("https://klasma.github.io/Logging_1962/artfynd/A 38017-2025 artfynd.xlsx", "A 38017-2025")</f>
        <v/>
      </c>
      <c r="X23">
        <f>HYPERLINK("https://klasma.github.io/Logging_1962/kartor/A 38017-2025 karta.png", "A 38017-2025")</f>
        <v/>
      </c>
      <c r="Y23">
        <f>HYPERLINK("https://klasma.github.io/Logging_1962/kartor_geotiff/A 38017-2025 georefererad karta.tif", "A 38017-2025")</f>
        <v/>
      </c>
      <c r="AA23">
        <f>HYPERLINK("https://klasma.github.io/Logging_1962/klagomål/A 38017-2025 FSC-klagomål.docx", "A 38017-2025")</f>
        <v/>
      </c>
      <c r="AB23">
        <f>HYPERLINK("https://klasma.github.io/Logging_1962/klagomålsmail/A 38017-2025 FSC-klagomål mail.docx", "A 38017-2025")</f>
        <v/>
      </c>
      <c r="AC23">
        <f>HYPERLINK("https://klasma.github.io/Logging_1962/tillsyn/A 38017-2025 tillsynsbegäran.docx", "A 38017-2025")</f>
        <v/>
      </c>
      <c r="AD23">
        <f>HYPERLINK("https://klasma.github.io/Logging_1962/tillsynsmail/A 38017-2025 tillsynsbegäran mail.docx", "A 38017-2025")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46320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20407-2026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46320</v>
      </c>
      <c r="F25" t="inlineStr">
        <is>
          <t>VÄSTMANLANDS LÄN</t>
        </is>
      </c>
      <c r="G25" t="inlineStr">
        <is>
          <t>NORBERG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HYPERLINK("https://klasma.github.io/Logging_1962/artfynd/A 20407-2026 artfynd.xlsx", "A 20407-2026")</f>
        <v/>
      </c>
      <c r="X25">
        <f>HYPERLINK("https://klasma.github.io/Logging_1962/kartor/A 20407-2026 karta.png", "A 20407-2026")</f>
        <v/>
      </c>
      <c r="Y25">
        <f>HYPERLINK("https://klasma.github.io/Logging_1962/kartor_geotiff/A 20407-2026 georefererad karta.tif", "A 20407-2026")</f>
        <v/>
      </c>
      <c r="AA25">
        <f>HYPERLINK("https://klasma.github.io/Logging_1962/klagomål/A 20407-2026 FSC-klagomål.docx", "A 20407-2026")</f>
        <v/>
      </c>
      <c r="AB25">
        <f>HYPERLINK("https://klasma.github.io/Logging_1962/klagomålsmail/A 20407-2026 FSC-klagomål mail.docx", "A 20407-2026")</f>
        <v/>
      </c>
      <c r="AC25">
        <f>HYPERLINK("https://klasma.github.io/Logging_1962/tillsyn/A 20407-2026 tillsynsbegäran.docx", "A 20407-2026")</f>
        <v/>
      </c>
      <c r="AD25">
        <f>HYPERLINK("https://klasma.github.io/Logging_1962/tillsynsmail/A 20407-2026 tillsynsbegäran mail.docx", "A 20407-2026")</f>
        <v/>
      </c>
      <c r="AE25">
        <f>HYPERLINK("https://klasma.github.io/Logging_1962/fåglar/A 20407-2026 prioriterade fågelarter.docx", "A 20407-2026")</f>
        <v/>
      </c>
    </row>
    <row r="26" ht="15" customHeight="1">
      <c r="A26" t="inlineStr">
        <is>
          <t>A 34967-2023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45142</v>
      </c>
      <c r="E26" s="1" t="n">
        <v>46320</v>
      </c>
      <c r="F26" t="inlineStr">
        <is>
          <t>VÄSTMANLANDS LÄN</t>
        </is>
      </c>
      <c r="G26" t="inlineStr">
        <is>
          <t>NORBERG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Skogsklocka</t>
        </is>
      </c>
      <c r="W26">
        <f>HYPERLINK("https://klasma.github.io/Logging_1962/artfynd/A 34967-2023 artfynd.xlsx", "A 34967-2023")</f>
        <v/>
      </c>
      <c r="X26">
        <f>HYPERLINK("https://klasma.github.io/Logging_1962/kartor/A 34967-2023 karta.png", "A 34967-2023")</f>
        <v/>
      </c>
      <c r="Y26">
        <f>HYPERLINK("https://klasma.github.io/Logging_1962/kartor_geotiff/A 34967-2023 georefererad karta.tif", "A 34967-2023")</f>
        <v/>
      </c>
      <c r="AA26">
        <f>HYPERLINK("https://klasma.github.io/Logging_1962/klagomål/A 34967-2023 FSC-klagomål.docx", "A 34967-2023")</f>
        <v/>
      </c>
      <c r="AB26">
        <f>HYPERLINK("https://klasma.github.io/Logging_1962/klagomålsmail/A 34967-2023 FSC-klagomål mail.docx", "A 34967-2023")</f>
        <v/>
      </c>
      <c r="AC26">
        <f>HYPERLINK("https://klasma.github.io/Logging_1962/tillsyn/A 34967-2023 tillsynsbegäran.docx", "A 34967-2023")</f>
        <v/>
      </c>
      <c r="AD26">
        <f>HYPERLINK("https://klasma.github.io/Logging_1962/tillsynsmail/A 34967-2023 tillsynsbegäran mail.docx", "A 34967-2023")</f>
        <v/>
      </c>
    </row>
    <row r="27" ht="15" customHeight="1">
      <c r="A27" t="inlineStr">
        <is>
          <t>A 18464-2025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45762</v>
      </c>
      <c r="E27" s="1" t="n">
        <v>46320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1.1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Skogsknipprot</t>
        </is>
      </c>
      <c r="W27">
        <f>HYPERLINK("https://klasma.github.io/Logging_1962/artfynd/A 18464-2025 artfynd.xlsx", "A 18464-2025")</f>
        <v/>
      </c>
      <c r="X27">
        <f>HYPERLINK("https://klasma.github.io/Logging_1962/kartor/A 18464-2025 karta.png", "A 18464-2025")</f>
        <v/>
      </c>
      <c r="Y27">
        <f>HYPERLINK("https://klasma.github.io/Logging_1962/kartor_geotiff/A 18464-2025 georefererad karta.tif", "A 18464-2025")</f>
        <v/>
      </c>
      <c r="AA27">
        <f>HYPERLINK("https://klasma.github.io/Logging_1962/klagomål/A 18464-2025 FSC-klagomål.docx", "A 18464-2025")</f>
        <v/>
      </c>
      <c r="AB27">
        <f>HYPERLINK("https://klasma.github.io/Logging_1962/klagomålsmail/A 18464-2025 FSC-klagomål mail.docx", "A 18464-2025")</f>
        <v/>
      </c>
      <c r="AC27">
        <f>HYPERLINK("https://klasma.github.io/Logging_1962/tillsyn/A 18464-2025 tillsynsbegäran.docx", "A 18464-2025")</f>
        <v/>
      </c>
      <c r="AD27">
        <f>HYPERLINK("https://klasma.github.io/Logging_1962/tillsynsmail/A 18464-2025 tillsynsbegäran mail.docx", "A 18464-2025")</f>
        <v/>
      </c>
    </row>
    <row r="28" ht="15" customHeight="1">
      <c r="A28" t="inlineStr">
        <is>
          <t>A 15107-2025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45744</v>
      </c>
      <c r="E28" s="1" t="n">
        <v>46320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HYPERLINK("https://klasma.github.io/Logging_1962/artfynd/A 15107-2025 artfynd.xlsx", "A 15107-2025")</f>
        <v/>
      </c>
      <c r="X28">
        <f>HYPERLINK("https://klasma.github.io/Logging_1962/kartor/A 15107-2025 karta.png", "A 15107-2025")</f>
        <v/>
      </c>
      <c r="Y28">
        <f>HYPERLINK("https://klasma.github.io/Logging_1962/kartor_geotiff/A 15107-2025 georefererad karta.tif", "A 15107-2025")</f>
        <v/>
      </c>
      <c r="AA28">
        <f>HYPERLINK("https://klasma.github.io/Logging_1962/klagomål/A 15107-2025 FSC-klagomål.docx", "A 15107-2025")</f>
        <v/>
      </c>
      <c r="AB28">
        <f>HYPERLINK("https://klasma.github.io/Logging_1962/klagomålsmail/A 15107-2025 FSC-klagomål mail.docx", "A 15107-2025")</f>
        <v/>
      </c>
      <c r="AC28">
        <f>HYPERLINK("https://klasma.github.io/Logging_1962/tillsyn/A 15107-2025 tillsynsbegäran.docx", "A 15107-2025")</f>
        <v/>
      </c>
      <c r="AD28">
        <f>HYPERLINK("https://klasma.github.io/Logging_1962/tillsynsmail/A 15107-2025 tillsynsbegäran mail.docx", "A 15107-2025")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46320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46320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46320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46320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46320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46320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46320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46320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46320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46320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46320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46320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46320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46320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46320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46320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46320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51778-2024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46320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45200</v>
      </c>
      <c r="E47" s="1" t="n">
        <v>46320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46320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46320</v>
      </c>
      <c r="F49" t="inlineStr">
        <is>
          <t>VÄSTMANLANDS LÄN</t>
        </is>
      </c>
      <c r="G49" t="inlineStr">
        <is>
          <t>NORBERG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44860</v>
      </c>
      <c r="E50" s="1" t="n">
        <v>46320</v>
      </c>
      <c r="F50" t="inlineStr">
        <is>
          <t>VÄSTMANLANDS LÄN</t>
        </is>
      </c>
      <c r="G50" t="inlineStr">
        <is>
          <t>NORBERG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56400-2025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45974</v>
      </c>
      <c r="E51" s="1" t="n">
        <v>46320</v>
      </c>
      <c r="F51" t="inlineStr">
        <is>
          <t>VÄSTMANLANDS LÄN</t>
        </is>
      </c>
      <c r="G51" t="inlineStr">
        <is>
          <t>NORBERG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45560</v>
      </c>
      <c r="E52" s="1" t="n">
        <v>46320</v>
      </c>
      <c r="F52" t="inlineStr">
        <is>
          <t>VÄSTMANLANDS LÄN</t>
        </is>
      </c>
      <c r="G52" t="inlineStr">
        <is>
          <t>NORBERG</t>
        </is>
      </c>
      <c r="H52" t="inlineStr">
        <is>
          <t>Bergvik skog väst AB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46320</v>
      </c>
      <c r="F53" t="inlineStr">
        <is>
          <t>VÄSTMANLANDS LÄN</t>
        </is>
      </c>
      <c r="G53" t="inlineStr">
        <is>
          <t>NORBERG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49001-2025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45937</v>
      </c>
      <c r="E54" s="1" t="n">
        <v>46320</v>
      </c>
      <c r="F54" t="inlineStr">
        <is>
          <t>VÄSTMANLANDS LÄN</t>
        </is>
      </c>
      <c r="G54" t="inlineStr">
        <is>
          <t>NORBERG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45937</v>
      </c>
      <c r="E55" s="1" t="n">
        <v>46320</v>
      </c>
      <c r="F55" t="inlineStr">
        <is>
          <t>VÄSTMANLANDS LÄN</t>
        </is>
      </c>
      <c r="G55" t="inlineStr">
        <is>
          <t>NORBERG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20381-2023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45056</v>
      </c>
      <c r="E56" s="1" t="n">
        <v>46320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25331-2026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46320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46320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45474</v>
      </c>
      <c r="E59" s="1" t="n">
        <v>46320</v>
      </c>
      <c r="F59" t="inlineStr">
        <is>
          <t>VÄSTMANLANDS LÄN</t>
        </is>
      </c>
      <c r="G59" t="inlineStr">
        <is>
          <t>NORBERG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46320</v>
      </c>
      <c r="F60" t="inlineStr">
        <is>
          <t>VÄSTMANLANDS LÄN</t>
        </is>
      </c>
      <c r="G60" t="inlineStr">
        <is>
          <t>NORBERG</t>
        </is>
      </c>
      <c r="H60" t="inlineStr">
        <is>
          <t>Bergvik skog väst AB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47753-2024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46320</v>
      </c>
      <c r="F61" t="inlineStr">
        <is>
          <t>VÄSTMANLANDS LÄN</t>
        </is>
      </c>
      <c r="G61" t="inlineStr">
        <is>
          <t>NORBERG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46320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13.7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46189</v>
      </c>
      <c r="E63" s="1" t="n">
        <v>46320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45966</v>
      </c>
      <c r="E64" s="1" t="n">
        <v>46320</v>
      </c>
      <c r="F64" t="inlineStr">
        <is>
          <t>VÄSTMANLANDS LÄN</t>
        </is>
      </c>
      <c r="G64" t="inlineStr">
        <is>
          <t>NORBERG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45179</v>
      </c>
      <c r="E65" s="1" t="n">
        <v>46320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27716-2026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46190</v>
      </c>
      <c r="E66" s="1" t="n">
        <v>46320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51790-2024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45607</v>
      </c>
      <c r="E67" s="1" t="n">
        <v>46320</v>
      </c>
      <c r="F67" t="inlineStr">
        <is>
          <t>VÄSTMANLANDS LÄN</t>
        </is>
      </c>
      <c r="G67" t="inlineStr">
        <is>
          <t>NORBERG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19377-2025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45769</v>
      </c>
      <c r="E68" s="1" t="n">
        <v>46320</v>
      </c>
      <c r="F68" t="inlineStr">
        <is>
          <t>VÄSTMANLANDS LÄN</t>
        </is>
      </c>
      <c r="G68" t="inlineStr">
        <is>
          <t>NORBERG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46320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45316</v>
      </c>
      <c r="E70" s="1" t="n">
        <v>46320</v>
      </c>
      <c r="F70" t="inlineStr">
        <is>
          <t>VÄSTMANLANDS LÄN</t>
        </is>
      </c>
      <c r="G70" t="inlineStr">
        <is>
          <t>NORBERG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45567</v>
      </c>
      <c r="E71" s="1" t="n">
        <v>46320</v>
      </c>
      <c r="F71" t="inlineStr">
        <is>
          <t>VÄSTMANLANDS LÄN</t>
        </is>
      </c>
      <c r="G71" t="inlineStr">
        <is>
          <t>NORBERG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21976-2026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46320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58616-2024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45632</v>
      </c>
      <c r="E73" s="1" t="n">
        <v>46320</v>
      </c>
      <c r="F73" t="inlineStr">
        <is>
          <t>VÄSTMANLANDS LÄN</t>
        </is>
      </c>
      <c r="G73" t="inlineStr">
        <is>
          <t>NORBERG</t>
        </is>
      </c>
      <c r="H73" t="inlineStr">
        <is>
          <t>Bergvik skog väst AB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19075-2022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46320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45729</v>
      </c>
      <c r="E75" s="1" t="n">
        <v>46320</v>
      </c>
      <c r="F75" t="inlineStr">
        <is>
          <t>VÄSTMANLANDS LÄN</t>
        </is>
      </c>
      <c r="G75" t="inlineStr">
        <is>
          <t>NORBERG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45989</v>
      </c>
      <c r="E76" s="1" t="n">
        <v>46320</v>
      </c>
      <c r="F76" t="inlineStr">
        <is>
          <t>VÄSTMANLANDS LÄN</t>
        </is>
      </c>
      <c r="G76" t="inlineStr">
        <is>
          <t>NORBERG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46320</v>
      </c>
      <c r="F77" t="inlineStr">
        <is>
          <t>VÄSTMANLANDS LÄN</t>
        </is>
      </c>
      <c r="G77" t="inlineStr">
        <is>
          <t>NORBERG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45034</v>
      </c>
      <c r="E78" s="1" t="n">
        <v>46320</v>
      </c>
      <c r="F78" t="inlineStr">
        <is>
          <t>VÄSTMANLANDS LÄN</t>
        </is>
      </c>
      <c r="G78" t="inlineStr">
        <is>
          <t>NORBERG</t>
        </is>
      </c>
      <c r="H78" t="inlineStr">
        <is>
          <t>Bergvik skog väst AB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46320</v>
      </c>
      <c r="F79" t="inlineStr">
        <is>
          <t>VÄSTMANLANDS LÄN</t>
        </is>
      </c>
      <c r="G79" t="inlineStr">
        <is>
          <t>NORBERG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11099-2023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44992</v>
      </c>
      <c r="E80" s="1" t="n">
        <v>46320</v>
      </c>
      <c r="F80" t="inlineStr">
        <is>
          <t>VÄSTMANLANDS LÄN</t>
        </is>
      </c>
      <c r="G80" t="inlineStr">
        <is>
          <t>NORBERG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45320</v>
      </c>
      <c r="E81" s="1" t="n">
        <v>46320</v>
      </c>
      <c r="F81" t="inlineStr">
        <is>
          <t>VÄSTMANLANDS LÄN</t>
        </is>
      </c>
      <c r="G81" t="inlineStr">
        <is>
          <t>NORBERG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31483-2026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46223</v>
      </c>
      <c r="E82" s="1" t="n">
        <v>46320</v>
      </c>
      <c r="F82" t="inlineStr">
        <is>
          <t>VÄSTMANLANDS LÄN</t>
        </is>
      </c>
      <c r="G82" t="inlineStr">
        <is>
          <t>NORBERG</t>
        </is>
      </c>
      <c r="I82" t="n">
        <v>9.800000000000001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46320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45065-2023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45191</v>
      </c>
      <c r="E84" s="1" t="n">
        <v>46320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28607-2026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46197</v>
      </c>
      <c r="E85" s="1" t="n">
        <v>46320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46320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46320</v>
      </c>
      <c r="F87" t="inlineStr">
        <is>
          <t>VÄSTMANLANDS LÄN</t>
        </is>
      </c>
      <c r="G87" t="inlineStr">
        <is>
          <t>NORBERG</t>
        </is>
      </c>
      <c r="H87" t="inlineStr">
        <is>
          <t>Bergvik skog väst AB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31967-2026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46232</v>
      </c>
      <c r="E88" s="1" t="n">
        <v>46320</v>
      </c>
      <c r="F88" t="inlineStr">
        <is>
          <t>VÄSTMANLANDS LÄN</t>
        </is>
      </c>
      <c r="G88" t="inlineStr">
        <is>
          <t>NORBERG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46232</v>
      </c>
      <c r="E89" s="1" t="n">
        <v>46320</v>
      </c>
      <c r="F89" t="inlineStr">
        <is>
          <t>VÄSTMANLANDS LÄN</t>
        </is>
      </c>
      <c r="G89" t="inlineStr">
        <is>
          <t>NORBERG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46320</v>
      </c>
      <c r="F90" t="inlineStr">
        <is>
          <t>VÄSTMANLANDS LÄN</t>
        </is>
      </c>
      <c r="G90" t="inlineStr">
        <is>
          <t>NORBERG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46320</v>
      </c>
      <c r="F91" t="inlineStr">
        <is>
          <t>VÄSTMANLANDS LÄN</t>
        </is>
      </c>
      <c r="G91" t="inlineStr">
        <is>
          <t>NORBERG</t>
        </is>
      </c>
      <c r="I91" t="n">
        <v>22.8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46320</v>
      </c>
      <c r="F92" t="inlineStr">
        <is>
          <t>VÄSTMANLANDS LÄN</t>
        </is>
      </c>
      <c r="G92" t="inlineStr">
        <is>
          <t>NORBERG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46233</v>
      </c>
      <c r="E93" s="1" t="n">
        <v>46320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46320</v>
      </c>
      <c r="F94" t="inlineStr">
        <is>
          <t>VÄSTMANLANDS LÄN</t>
        </is>
      </c>
      <c r="G94" t="inlineStr">
        <is>
          <t>NORBERG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63907-2025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46020</v>
      </c>
      <c r="E95" s="1" t="n">
        <v>46320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32385-2026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46238</v>
      </c>
      <c r="E96" s="1" t="n">
        <v>46320</v>
      </c>
      <c r="F96" t="inlineStr">
        <is>
          <t>VÄSTMANLANDS LÄN</t>
        </is>
      </c>
      <c r="G96" t="inlineStr">
        <is>
          <t>NORBERG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46320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46320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36905-2023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45154</v>
      </c>
      <c r="E99" s="1" t="n">
        <v>46320</v>
      </c>
      <c r="F99" t="inlineStr">
        <is>
          <t>VÄSTMANLANDS LÄN</t>
        </is>
      </c>
      <c r="G99" t="inlineStr">
        <is>
          <t>NORBERG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46246</v>
      </c>
      <c r="E100" s="1" t="n">
        <v>46320</v>
      </c>
      <c r="F100" t="inlineStr">
        <is>
          <t>VÄSTMANLANDS LÄN</t>
        </is>
      </c>
      <c r="G100" t="inlineStr">
        <is>
          <t>NORBERG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63495-2023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46320</v>
      </c>
      <c r="F101" t="inlineStr">
        <is>
          <t>VÄSTMANLANDS LÄN</t>
        </is>
      </c>
      <c r="G101" t="inlineStr">
        <is>
          <t>NORBERG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45576</v>
      </c>
      <c r="E102" s="1" t="n">
        <v>46320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46320</v>
      </c>
      <c r="F103" t="inlineStr">
        <is>
          <t>VÄSTMANLANDS LÄN</t>
        </is>
      </c>
      <c r="G103" t="inlineStr">
        <is>
          <t>NORBERG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47029-2024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46320</v>
      </c>
      <c r="F104" t="inlineStr">
        <is>
          <t>VÄSTMANLANDS LÄN</t>
        </is>
      </c>
      <c r="G104" t="inlineStr">
        <is>
          <t>NORBERG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46320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60339-2025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45994</v>
      </c>
      <c r="E106" s="1" t="n">
        <v>46320</v>
      </c>
      <c r="F106" t="inlineStr">
        <is>
          <t>VÄSTMANLANDS LÄN</t>
        </is>
      </c>
      <c r="G106" t="inlineStr">
        <is>
          <t>NORBERG</t>
        </is>
      </c>
      <c r="H106" t="inlineStr">
        <is>
          <t>Kommuner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34232-2026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46253</v>
      </c>
      <c r="E107" s="1" t="n">
        <v>46320</v>
      </c>
      <c r="F107" t="inlineStr">
        <is>
          <t>VÄSTMANLANDS LÄN</t>
        </is>
      </c>
      <c r="G107" t="inlineStr">
        <is>
          <t>NORBERG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46320</v>
      </c>
      <c r="F108" t="inlineStr">
        <is>
          <t>VÄSTMANLANDS LÄN</t>
        </is>
      </c>
      <c r="G108" t="inlineStr">
        <is>
          <t>NORBERG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30211-2025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45827</v>
      </c>
      <c r="E109" s="1" t="n">
        <v>46320</v>
      </c>
      <c r="F109" t="inlineStr">
        <is>
          <t>VÄSTMANLANDS LÄN</t>
        </is>
      </c>
      <c r="G109" t="inlineStr">
        <is>
          <t>NORBERG</t>
        </is>
      </c>
      <c r="H109" t="inlineStr">
        <is>
          <t>Övriga Aktiebolag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46320</v>
      </c>
      <c r="F110" t="inlineStr">
        <is>
          <t>VÄSTMANLANDS LÄN</t>
        </is>
      </c>
      <c r="G110" t="inlineStr">
        <is>
          <t>NORBERG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45454</v>
      </c>
      <c r="E111" s="1" t="n">
        <v>46320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46320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46099</v>
      </c>
      <c r="E113" s="1" t="n">
        <v>46320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46320</v>
      </c>
      <c r="F114" t="inlineStr">
        <is>
          <t>VÄSTMANLANDS LÄN</t>
        </is>
      </c>
      <c r="G114" t="inlineStr">
        <is>
          <t>NORBERG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46320</v>
      </c>
      <c r="F115" t="inlineStr">
        <is>
          <t>VÄSTMANLANDS LÄN</t>
        </is>
      </c>
      <c r="G115" t="inlineStr">
        <is>
          <t>NORBERG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46320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46258</v>
      </c>
      <c r="E117" s="1" t="n">
        <v>46320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46320</v>
      </c>
      <c r="F118" t="inlineStr">
        <is>
          <t>VÄSTMANLANDS LÄN</t>
        </is>
      </c>
      <c r="G118" t="inlineStr">
        <is>
          <t>NORBERG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15981-2026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46108</v>
      </c>
      <c r="E119" s="1" t="n">
        <v>46320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46320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16897-2026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46113</v>
      </c>
      <c r="E121" s="1" t="n">
        <v>46320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46114</v>
      </c>
      <c r="E122" s="1" t="n">
        <v>46320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46303</v>
      </c>
      <c r="E123" s="1" t="n">
        <v>46320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17318-2026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46320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46303</v>
      </c>
      <c r="E125" s="1" t="n">
        <v>46320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46303</v>
      </c>
      <c r="E126" s="1" t="n">
        <v>46320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46320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46320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46320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46320</v>
      </c>
      <c r="F130" t="inlineStr">
        <is>
          <t>VÄSTMANLANDS LÄN</t>
        </is>
      </c>
      <c r="G130" t="inlineStr">
        <is>
          <t>NORBERG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46320</v>
      </c>
      <c r="F131" t="inlineStr">
        <is>
          <t>VÄSTMANLANDS LÄN</t>
        </is>
      </c>
      <c r="G131" t="inlineStr">
        <is>
          <t>NORBERG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46320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20378-2023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45056</v>
      </c>
      <c r="E133" s="1" t="n">
        <v>46320</v>
      </c>
      <c r="F133" t="inlineStr">
        <is>
          <t>VÄSTMANLANDS LÄN</t>
        </is>
      </c>
      <c r="G133" t="inlineStr">
        <is>
          <t>NORBERG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23702-2024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45454</v>
      </c>
      <c r="E134" s="1" t="n">
        <v>46320</v>
      </c>
      <c r="F134" t="inlineStr">
        <is>
          <t>VÄSTMANLANDS LÄN</t>
        </is>
      </c>
      <c r="G134" t="inlineStr">
        <is>
          <t>NORBERG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46266</v>
      </c>
      <c r="E135" s="1" t="n">
        <v>46320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46320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46268</v>
      </c>
      <c r="E137" s="1" t="n">
        <v>46320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40232-2024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46320</v>
      </c>
      <c r="F138" t="inlineStr">
        <is>
          <t>VÄSTMANLANDS LÄN</t>
        </is>
      </c>
      <c r="G138" t="inlineStr">
        <is>
          <t>NORBERG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36394-2026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46268</v>
      </c>
      <c r="E139" s="1" t="n">
        <v>46320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46320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45598</v>
      </c>
      <c r="E141" s="1" t="n">
        <v>46320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46320</v>
      </c>
      <c r="F142" t="inlineStr">
        <is>
          <t>VÄSTMANLANDS LÄN</t>
        </is>
      </c>
      <c r="G142" t="inlineStr">
        <is>
          <t>NORBERG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46320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46320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20968-2026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46142</v>
      </c>
      <c r="E145" s="1" t="n">
        <v>46320</v>
      </c>
      <c r="F145" t="inlineStr">
        <is>
          <t>VÄSTMANLANDS LÄN</t>
        </is>
      </c>
      <c r="G145" t="inlineStr">
        <is>
          <t>NORBERG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21218-2026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46146</v>
      </c>
      <c r="E146" s="1" t="n">
        <v>46320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12.1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46148</v>
      </c>
      <c r="E147" s="1" t="n">
        <v>46320</v>
      </c>
      <c r="F147" t="inlineStr">
        <is>
          <t>VÄSTMANLANDS LÄN</t>
        </is>
      </c>
      <c r="G147" t="inlineStr">
        <is>
          <t>NORBERG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21504-2026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46148</v>
      </c>
      <c r="E148" s="1" t="n">
        <v>46320</v>
      </c>
      <c r="F148" t="inlineStr">
        <is>
          <t>VÄSTMANLANDS LÄN</t>
        </is>
      </c>
      <c r="G148" t="inlineStr">
        <is>
          <t>NORBERG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46320</v>
      </c>
      <c r="F149" t="inlineStr">
        <is>
          <t>VÄSTMANLANDS LÄN</t>
        </is>
      </c>
      <c r="G149" t="inlineStr">
        <is>
          <t>NORBERG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46320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45613</v>
      </c>
      <c r="E151" s="1" t="n">
        <v>46320</v>
      </c>
      <c r="F151" t="inlineStr">
        <is>
          <t>VÄSTMANLANDS LÄN</t>
        </is>
      </c>
      <c r="G151" t="inlineStr">
        <is>
          <t>NORBERG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46320</v>
      </c>
      <c r="F152" t="inlineStr">
        <is>
          <t>VÄSTMANLANDS LÄN</t>
        </is>
      </c>
      <c r="G152" t="inlineStr">
        <is>
          <t>NORBERG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45363</v>
      </c>
      <c r="E153" s="1" t="n">
        <v>46320</v>
      </c>
      <c r="F153" t="inlineStr">
        <is>
          <t>VÄSTMANLANDS LÄN</t>
        </is>
      </c>
      <c r="G153" t="inlineStr">
        <is>
          <t>NORBERG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46320</v>
      </c>
      <c r="F154" t="inlineStr">
        <is>
          <t>VÄSTMANLANDS LÄN</t>
        </is>
      </c>
      <c r="G154" t="inlineStr">
        <is>
          <t>NORBERG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46320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45705</v>
      </c>
      <c r="E156" s="1" t="n">
        <v>46320</v>
      </c>
      <c r="F156" t="inlineStr">
        <is>
          <t>VÄSTMANLANDS LÄN</t>
        </is>
      </c>
      <c r="G156" t="inlineStr">
        <is>
          <t>NORBERG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73797-2021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44552</v>
      </c>
      <c r="E157" s="1" t="n">
        <v>46320</v>
      </c>
      <c r="F157" t="inlineStr">
        <is>
          <t>VÄSTMANLANDS LÄN</t>
        </is>
      </c>
      <c r="G157" t="inlineStr">
        <is>
          <t>NORBERG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46320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45200</v>
      </c>
      <c r="E159" s="1" t="n">
        <v>46320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45764</v>
      </c>
      <c r="E160" s="1" t="n">
        <v>46320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45474</v>
      </c>
      <c r="E161" s="1" t="n">
        <v>46320</v>
      </c>
      <c r="F161" t="inlineStr">
        <is>
          <t>VÄSTMANLANDS LÄN</t>
        </is>
      </c>
      <c r="G161" t="inlineStr">
        <is>
          <t>NORBERG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46320</v>
      </c>
      <c r="F162" t="inlineStr">
        <is>
          <t>VÄSTMANLANDS LÄN</t>
        </is>
      </c>
      <c r="G162" t="inlineStr">
        <is>
          <t>NORBERG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46320</v>
      </c>
      <c r="F163" t="inlineStr">
        <is>
          <t>VÄSTMANLANDS LÄN</t>
        </is>
      </c>
      <c r="G163" t="inlineStr">
        <is>
          <t>NORBERG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47610-2022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46320</v>
      </c>
      <c r="F164" t="inlineStr">
        <is>
          <t>VÄSTMANLANDS LÄN</t>
        </is>
      </c>
      <c r="G164" t="inlineStr">
        <is>
          <t>NORBERG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46320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46320</v>
      </c>
      <c r="F166" t="inlineStr">
        <is>
          <t>VÄSTMANLANDS LÄN</t>
        </is>
      </c>
      <c r="G166" t="inlineStr">
        <is>
          <t>NORBERG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44992</v>
      </c>
      <c r="E167" s="1" t="n">
        <v>46320</v>
      </c>
      <c r="F167" t="inlineStr">
        <is>
          <t>VÄSTMANLANDS LÄN</t>
        </is>
      </c>
      <c r="G167" t="inlineStr">
        <is>
          <t>NORBERG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46320</v>
      </c>
      <c r="F168" t="inlineStr">
        <is>
          <t>VÄSTMANLANDS LÄN</t>
        </is>
      </c>
      <c r="G168" t="inlineStr">
        <is>
          <t>NORBERG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46320</v>
      </c>
      <c r="F169" t="inlineStr">
        <is>
          <t>VÄSTMANLANDS LÄN</t>
        </is>
      </c>
      <c r="G169" t="inlineStr">
        <is>
          <t>NORBERG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45028</v>
      </c>
      <c r="E170" s="1" t="n">
        <v>46320</v>
      </c>
      <c r="F170" t="inlineStr">
        <is>
          <t>VÄSTMANLANDS LÄN</t>
        </is>
      </c>
      <c r="G170" t="inlineStr">
        <is>
          <t>NORBERG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46320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46320</v>
      </c>
      <c r="F172" t="inlineStr">
        <is>
          <t>VÄSTMANLANDS LÄN</t>
        </is>
      </c>
      <c r="G172" t="inlineStr">
        <is>
          <t>NORBERG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45205</v>
      </c>
      <c r="E173" s="1" t="n">
        <v>46320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45121</v>
      </c>
      <c r="E174" s="1" t="n">
        <v>46320</v>
      </c>
      <c r="F174" t="inlineStr">
        <is>
          <t>VÄSTMANLANDS LÄN</t>
        </is>
      </c>
      <c r="G174" t="inlineStr">
        <is>
          <t>NORBERG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44628</v>
      </c>
      <c r="E175" s="1" t="n">
        <v>46320</v>
      </c>
      <c r="F175" t="inlineStr">
        <is>
          <t>VÄSTMANLANDS LÄN</t>
        </is>
      </c>
      <c r="G175" t="inlineStr">
        <is>
          <t>NORBERG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45440</v>
      </c>
      <c r="E176" s="1" t="n">
        <v>46320</v>
      </c>
      <c r="F176" t="inlineStr">
        <is>
          <t>VÄSTMANLANDS LÄN</t>
        </is>
      </c>
      <c r="G176" t="inlineStr">
        <is>
          <t>NORBERG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46320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46320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46320</v>
      </c>
      <c r="F179" t="inlineStr">
        <is>
          <t>VÄSTMANLANDS LÄN</t>
        </is>
      </c>
      <c r="G179" t="inlineStr">
        <is>
          <t>NORBERG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46320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46320</v>
      </c>
      <c r="F181" t="inlineStr">
        <is>
          <t>VÄSTMANLANDS LÄN</t>
        </is>
      </c>
      <c r="G181" t="inlineStr">
        <is>
          <t>NORBERG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46320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45155</v>
      </c>
      <c r="E183" s="1" t="n">
        <v>46320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46320</v>
      </c>
      <c r="F184" t="inlineStr">
        <is>
          <t>VÄSTMANLANDS LÄN</t>
        </is>
      </c>
      <c r="G184" t="inlineStr">
        <is>
          <t>NORBERG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45226</v>
      </c>
      <c r="E185" s="1" t="n">
        <v>46320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46320</v>
      </c>
      <c r="F186" t="inlineStr">
        <is>
          <t>VÄSTMANLANDS LÄN</t>
        </is>
      </c>
      <c r="G186" t="inlineStr">
        <is>
          <t>NORBERG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46320</v>
      </c>
      <c r="F187" t="inlineStr">
        <is>
          <t>VÄSTMANLANDS LÄN</t>
        </is>
      </c>
      <c r="G187" t="inlineStr">
        <is>
          <t>NORBERG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46320</v>
      </c>
      <c r="F188" t="inlineStr">
        <is>
          <t>VÄSTMANLANDS LÄN</t>
        </is>
      </c>
      <c r="G188" t="inlineStr">
        <is>
          <t>NORBERG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63505-2023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45274</v>
      </c>
      <c r="E189" s="1" t="n">
        <v>46320</v>
      </c>
      <c r="F189" t="inlineStr">
        <is>
          <t>VÄSTMANLANDS LÄN</t>
        </is>
      </c>
      <c r="G189" t="inlineStr">
        <is>
          <t>NORBERG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45769</v>
      </c>
      <c r="E190" s="1" t="n">
        <v>46320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46320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46320</v>
      </c>
      <c r="F192" t="inlineStr">
        <is>
          <t>VÄSTMANLANDS LÄN</t>
        </is>
      </c>
      <c r="G192" t="inlineStr">
        <is>
          <t>NORBERG</t>
        </is>
      </c>
      <c r="I192" t="n">
        <v>22.4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46320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46320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46320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2026-10-25T02:03:23Z</dcterms:created>
  <dcterms:modified xmlns:dcterms="http://purl.org/dc/terms/" xmlns:xsi="http://www.w3.org/2001/XMLSchema-instance" xsi:type="dcterms:W3CDTF">2026-10-25T02:03:24Z</dcterms:modified>
</cp:coreProperties>
</file>