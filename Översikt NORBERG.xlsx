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46230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46230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t="n">
        <v>0</v>
      </c>
      <c r="V3" s="2" t="inlineStr">
        <is>
          <t>Kryddspindling
Orange taggsvamp
Zontaggsvamp</t>
        </is>
      </c>
      <c r="W3">
        <f>HYPERLINK("https://klasma.github.io/Logging_1962/artfynd/A 62471-2023 artfynd.xlsx", "A 62471-2023")</f>
        <v/>
      </c>
      <c r="X3">
        <f>HYPERLINK("https://klasma.github.io/Logging_1962/kartor/A 62471-2023 karta.png", "A 62471-2023")</f>
        <v/>
      </c>
      <c r="Y3">
        <f>HYPERLINK("https://klasma.github.io/Logging_1962/kartor_geotiff/A 62471-2023 georefererad karta.tif", "A 62471-2023")</f>
        <v/>
      </c>
      <c r="AA3">
        <f>HYPERLINK("https://klasma.github.io/Logging_1962/klagomål/A 62471-2023 FSC-klagomål.docx", "A 62471-2023")</f>
        <v/>
      </c>
      <c r="AB3">
        <f>HYPERLINK("https://klasma.github.io/Logging_1962/klagomålsmail/A 62471-2023 FSC-klagomål mail.docx", "A 62471-2023")</f>
        <v/>
      </c>
      <c r="AC3">
        <f>HYPERLINK("https://klasma.github.io/Logging_1962/tillsyn/A 62471-2023 tillsynsbegäran.docx", "A 62471-2023")</f>
        <v/>
      </c>
      <c r="AD3">
        <f>HYPERLINK("https://klasma.github.io/Logging_1962/tillsynsmail/A 62471-2023 tillsynsbegäran mail.docx", "A 62471-2023")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46230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46230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0</v>
      </c>
      <c r="V5" s="2" t="inlineStr">
        <is>
          <t>Brunklöver
Tvåblad</t>
        </is>
      </c>
      <c r="W5">
        <f>HYPERLINK("https://klasma.github.io/Logging_1962/artfynd/A 15262-2026 artfynd.xlsx", "A 15262-2026")</f>
        <v/>
      </c>
      <c r="X5">
        <f>HYPERLINK("https://klasma.github.io/Logging_1962/kartor/A 15262-2026 karta.png", "A 15262-2026")</f>
        <v/>
      </c>
      <c r="Y5">
        <f>HYPERLINK("https://klasma.github.io/Logging_1962/kartor_geotiff/A 15262-2026 georefererad karta.tif", "A 15262-2026")</f>
        <v/>
      </c>
      <c r="AA5">
        <f>HYPERLINK("https://klasma.github.io/Logging_1962/klagomål/A 15262-2026 FSC-klagomål.docx", "A 15262-2026")</f>
        <v/>
      </c>
      <c r="AB5">
        <f>HYPERLINK("https://klasma.github.io/Logging_1962/klagomålsmail/A 15262-2026 FSC-klagomål mail.docx", "A 15262-2026")</f>
        <v/>
      </c>
      <c r="AC5">
        <f>HYPERLINK("https://klasma.github.io/Logging_1962/tillsyn/A 15262-2026 tillsynsbegäran.docx", "A 15262-2026")</f>
        <v/>
      </c>
      <c r="AD5">
        <f>HYPERLINK("https://klasma.github.io/Logging_1962/tillsynsmail/A 15262-2026 tillsynsbegäran mail.docx", "A 15262-2026")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46230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46230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46230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56936-2021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44480</v>
      </c>
      <c r="E9" s="1" t="n">
        <v>46230</v>
      </c>
      <c r="F9" t="inlineStr">
        <is>
          <t>VÄSTMANLANDS LÄN</t>
        </is>
      </c>
      <c r="G9" t="inlineStr">
        <is>
          <t>NORBERG</t>
        </is>
      </c>
      <c r="I9" t="n">
        <v>2.4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Blåsippa</t>
        </is>
      </c>
      <c r="W9">
        <f>HYPERLINK("https://klasma.github.io/Logging_1962/artfynd/A 56936-2021 artfynd.xlsx", "A 56936-2021")</f>
        <v/>
      </c>
      <c r="X9">
        <f>HYPERLINK("https://klasma.github.io/Logging_1962/kartor/A 56936-2021 karta.png", "A 56936-2021")</f>
        <v/>
      </c>
      <c r="Y9">
        <f>HYPERLINK("https://klasma.github.io/Logging_1962/kartor_geotiff/A 56936-2021 georefererad karta.tif", "A 56936-2021")</f>
        <v/>
      </c>
      <c r="AA9">
        <f>HYPERLINK("https://klasma.github.io/Logging_1962/klagomål/A 56936-2021 FSC-klagomål.docx", "A 56936-2021")</f>
        <v/>
      </c>
      <c r="AB9">
        <f>HYPERLINK("https://klasma.github.io/Logging_1962/klagomålsmail/A 56936-2021 FSC-klagomål mail.docx", "A 56936-2021")</f>
        <v/>
      </c>
      <c r="AC9">
        <f>HYPERLINK("https://klasma.github.io/Logging_1962/tillsyn/A 56936-2021 tillsynsbegäran.docx", "A 56936-2021")</f>
        <v/>
      </c>
      <c r="AD9">
        <f>HYPERLINK("https://klasma.github.io/Logging_1962/tillsynsmail/A 56936-2021 tillsynsbegäran mail.docx", "A 56936-2021")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46230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46230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15107-2025 artfynd.xlsx", "A 15107-2025")</f>
        <v/>
      </c>
      <c r="X11">
        <f>HYPERLINK("https://klasma.github.io/Logging_1962/kartor/A 15107-2025 karta.png", "A 15107-2025")</f>
        <v/>
      </c>
      <c r="Y11">
        <f>HYPERLINK("https://klasma.github.io/Logging_1962/kartor_geotiff/A 15107-2025 georefererad karta.tif", "A 15107-2025")</f>
        <v/>
      </c>
      <c r="AA11">
        <f>HYPERLINK("https://klasma.github.io/Logging_1962/klagomål/A 15107-2025 FSC-klagomål.docx", "A 15107-2025")</f>
        <v/>
      </c>
      <c r="AB11">
        <f>HYPERLINK("https://klasma.github.io/Logging_1962/klagomålsmail/A 15107-2025 FSC-klagomål mail.docx", "A 15107-2025")</f>
        <v/>
      </c>
      <c r="AC11">
        <f>HYPERLINK("https://klasma.github.io/Logging_1962/tillsyn/A 15107-2025 tillsynsbegäran.docx", "A 15107-2025")</f>
        <v/>
      </c>
      <c r="AD11">
        <f>HYPERLINK("https://klasma.github.io/Logging_1962/tillsynsmail/A 15107-2025 tillsynsbegäran mail.docx", "A 15107-2025")</f>
        <v/>
      </c>
    </row>
    <row r="12" ht="15" customHeight="1">
      <c r="A12" t="inlineStr">
        <is>
          <t>A 61099-2024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46230</v>
      </c>
      <c r="F12" t="inlineStr">
        <is>
          <t>VÄSTMANLANDS LÄN</t>
        </is>
      </c>
      <c r="G12" t="inlineStr">
        <is>
          <t>NORBERG</t>
        </is>
      </c>
      <c r="I12" t="n">
        <v>0.4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HYPERLINK("https://klasma.github.io/Logging_1962/artfynd/A 61099-2024 artfynd.xlsx", "A 61099-2024")</f>
        <v/>
      </c>
      <c r="X12">
        <f>HYPERLINK("https://klasma.github.io/Logging_1962/kartor/A 61099-2024 karta.png", "A 61099-2024")</f>
        <v/>
      </c>
      <c r="Y12">
        <f>HYPERLINK("https://klasma.github.io/Logging_1962/kartor_geotiff/A 61099-2024 georefererad karta.tif", "A 61099-2024")</f>
        <v/>
      </c>
      <c r="AA12">
        <f>HYPERLINK("https://klasma.github.io/Logging_1962/klagomål/A 61099-2024 FSC-klagomål.docx", "A 61099-2024")</f>
        <v/>
      </c>
      <c r="AB12">
        <f>HYPERLINK("https://klasma.github.io/Logging_1962/klagomålsmail/A 61099-2024 FSC-klagomål mail.docx", "A 61099-2024")</f>
        <v/>
      </c>
      <c r="AC12">
        <f>HYPERLINK("https://klasma.github.io/Logging_1962/tillsyn/A 61099-2024 tillsynsbegäran.docx", "A 61099-2024")</f>
        <v/>
      </c>
      <c r="AD12">
        <f>HYPERLINK("https://klasma.github.io/Logging_1962/tillsynsmail/A 61099-2024 tillsynsbegäran mail.docx", "A 61099-2024")</f>
        <v/>
      </c>
    </row>
    <row r="13" ht="15" customHeight="1">
      <c r="A13" t="inlineStr">
        <is>
          <t>A 38017-2025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45882</v>
      </c>
      <c r="E13" s="1" t="n">
        <v>46230</v>
      </c>
      <c r="F13" t="inlineStr">
        <is>
          <t>VÄSTMANLANDS LÄN</t>
        </is>
      </c>
      <c r="G13" t="inlineStr">
        <is>
          <t>NORBERG</t>
        </is>
      </c>
      <c r="H13" t="inlineStr">
        <is>
          <t>Övriga Aktiebolag</t>
        </is>
      </c>
      <c r="I13" t="n">
        <v>15.5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HYPERLINK("https://klasma.github.io/Logging_1962/artfynd/A 38017-2025 artfynd.xlsx", "A 38017-2025")</f>
        <v/>
      </c>
      <c r="X13">
        <f>HYPERLINK("https://klasma.github.io/Logging_1962/kartor/A 38017-2025 karta.png", "A 38017-2025")</f>
        <v/>
      </c>
      <c r="Y13">
        <f>HYPERLINK("https://klasma.github.io/Logging_1962/kartor_geotiff/A 38017-2025 georefererad karta.tif", "A 38017-2025")</f>
        <v/>
      </c>
      <c r="AA13">
        <f>HYPERLINK("https://klasma.github.io/Logging_1962/klagomål/A 38017-2025 FSC-klagomål.docx", "A 38017-2025")</f>
        <v/>
      </c>
      <c r="AB13">
        <f>HYPERLINK("https://klasma.github.io/Logging_1962/klagomålsmail/A 38017-2025 FSC-klagomål mail.docx", "A 38017-2025")</f>
        <v/>
      </c>
      <c r="AC13">
        <f>HYPERLINK("https://klasma.github.io/Logging_1962/tillsyn/A 38017-2025 tillsynsbegäran.docx", "A 38017-2025")</f>
        <v/>
      </c>
      <c r="AD13">
        <f>HYPERLINK("https://klasma.github.io/Logging_1962/tillsynsmail/A 38017-2025 tillsynsbegäran mail.docx", "A 38017-2025")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46230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28307-2026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46230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28307-2026 artfynd.xlsx", "A 28307-2026")</f>
        <v/>
      </c>
      <c r="X15">
        <f>HYPERLINK("https://klasma.github.io/Logging_1962/kartor/A 28307-2026 karta.png", "A 28307-2026")</f>
        <v/>
      </c>
      <c r="Y15">
        <f>HYPERLINK("https://klasma.github.io/Logging_1962/kartor_geotiff/A 28307-2026 georefererad karta.tif", "A 28307-2026")</f>
        <v/>
      </c>
      <c r="AA15">
        <f>HYPERLINK("https://klasma.github.io/Logging_1962/klagomål/A 28307-2026 FSC-klagomål.docx", "A 28307-2026")</f>
        <v/>
      </c>
      <c r="AB15">
        <f>HYPERLINK("https://klasma.github.io/Logging_1962/klagomålsmail/A 28307-2026 FSC-klagomål mail.docx", "A 28307-2026")</f>
        <v/>
      </c>
      <c r="AC15">
        <f>HYPERLINK("https://klasma.github.io/Logging_1962/tillsyn/A 28307-2026 tillsynsbegäran.docx", "A 28307-2026")</f>
        <v/>
      </c>
      <c r="AD15">
        <f>HYPERLINK("https://klasma.github.io/Logging_1962/tillsynsmail/A 28307-2026 tillsynsbegäran mail.docx", "A 28307-2026")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46230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46230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46230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46230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46230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46230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46230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46230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46230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46230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46230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46230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46230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46230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46230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46230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46230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46230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46230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46230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46230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46230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46230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46230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46230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46230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46045-2023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46230</v>
      </c>
      <c r="F42" t="inlineStr">
        <is>
          <t>VÄSTMANLANDS LÄN</t>
        </is>
      </c>
      <c r="G42" t="inlineStr">
        <is>
          <t>NORBERG</t>
        </is>
      </c>
      <c r="H42" t="inlineStr">
        <is>
          <t>Bergvik skog väst AB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46230</v>
      </c>
      <c r="F43" t="inlineStr">
        <is>
          <t>VÄSTMANLANDS LÄN</t>
        </is>
      </c>
      <c r="G43" t="inlineStr">
        <is>
          <t>NORBERG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46230</v>
      </c>
      <c r="F44" t="inlineStr">
        <is>
          <t>VÄSTMANLANDS LÄN</t>
        </is>
      </c>
      <c r="G44" t="inlineStr">
        <is>
          <t>NORBERG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51778-2024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46230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73797-2021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44552</v>
      </c>
      <c r="E46" s="1" t="n">
        <v>46230</v>
      </c>
      <c r="F46" t="inlineStr">
        <is>
          <t>VÄSTMANLANDS LÄN</t>
        </is>
      </c>
      <c r="G46" t="inlineStr">
        <is>
          <t>NORBERG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44687</v>
      </c>
      <c r="E47" s="1" t="n">
        <v>46230</v>
      </c>
      <c r="F47" t="inlineStr">
        <is>
          <t>VÄSTMANLANDS LÄN</t>
        </is>
      </c>
      <c r="G47" t="inlineStr">
        <is>
          <t>NORBERG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37200-2023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46230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9907-2024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45363</v>
      </c>
      <c r="E49" s="1" t="n">
        <v>46230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45420</v>
      </c>
      <c r="E50" s="1" t="n">
        <v>46230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53030-2023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46230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46230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45705</v>
      </c>
      <c r="E53" s="1" t="n">
        <v>46230</v>
      </c>
      <c r="F53" t="inlineStr">
        <is>
          <t>VÄSTMANLANDS LÄN</t>
        </is>
      </c>
      <c r="G53" t="inlineStr">
        <is>
          <t>NORBERG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45200</v>
      </c>
      <c r="E54" s="1" t="n">
        <v>46230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45567</v>
      </c>
      <c r="E55" s="1" t="n">
        <v>46230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12526-2025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46230</v>
      </c>
      <c r="F56" t="inlineStr">
        <is>
          <t>VÄSTMANLANDS LÄN</t>
        </is>
      </c>
      <c r="G56" t="inlineStr">
        <is>
          <t>NORBERG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46230</v>
      </c>
      <c r="F57" t="inlineStr">
        <is>
          <t>VÄSTMANLANDS LÄN</t>
        </is>
      </c>
      <c r="G57" t="inlineStr">
        <is>
          <t>NORBERG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42198-2023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45179</v>
      </c>
      <c r="E58" s="1" t="n">
        <v>46230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63505-2023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45274</v>
      </c>
      <c r="E59" s="1" t="n">
        <v>46230</v>
      </c>
      <c r="F59" t="inlineStr">
        <is>
          <t>VÄSTMANLANDS LÄN</t>
        </is>
      </c>
      <c r="G59" t="inlineStr">
        <is>
          <t>NORBERG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47029-2024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46230</v>
      </c>
      <c r="F60" t="inlineStr">
        <is>
          <t>VÄSTMANLANDS LÄN</t>
        </is>
      </c>
      <c r="G60" t="inlineStr">
        <is>
          <t>NORBERG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19075-2022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44691</v>
      </c>
      <c r="E61" s="1" t="n">
        <v>46230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12796-2023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45001</v>
      </c>
      <c r="E62" s="1" t="n">
        <v>46230</v>
      </c>
      <c r="F62" t="inlineStr">
        <is>
          <t>VÄSTMANLANDS LÄN</t>
        </is>
      </c>
      <c r="G62" t="inlineStr">
        <is>
          <t>NORBERG</t>
        </is>
      </c>
      <c r="I62" t="n">
        <v>22.4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46230</v>
      </c>
      <c r="F63" t="inlineStr">
        <is>
          <t>VÄSTMANLANDS LÄN</t>
        </is>
      </c>
      <c r="G63" t="inlineStr">
        <is>
          <t>NORBERG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45882</v>
      </c>
      <c r="E64" s="1" t="n">
        <v>46230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15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45729</v>
      </c>
      <c r="E65" s="1" t="n">
        <v>46230</v>
      </c>
      <c r="F65" t="inlineStr">
        <is>
          <t>VÄSTMANLANDS LÄN</t>
        </is>
      </c>
      <c r="G65" t="inlineStr">
        <is>
          <t>NORBERG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46230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45405</v>
      </c>
      <c r="E67" s="1" t="n">
        <v>46230</v>
      </c>
      <c r="F67" t="inlineStr">
        <is>
          <t>VÄSTMANLANDS LÄN</t>
        </is>
      </c>
      <c r="G67" t="inlineStr">
        <is>
          <t>NORBERG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19173-2025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46230</v>
      </c>
      <c r="F68" t="inlineStr">
        <is>
          <t>VÄSTMANLANDS LÄN</t>
        </is>
      </c>
      <c r="G68" t="inlineStr">
        <is>
          <t>NORBERG</t>
        </is>
      </c>
      <c r="H68" t="inlineStr">
        <is>
          <t>Övriga Aktiebolag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56940-2021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44480</v>
      </c>
      <c r="E69" s="1" t="n">
        <v>46230</v>
      </c>
      <c r="F69" t="inlineStr">
        <is>
          <t>VÄSTMANLANDS LÄN</t>
        </is>
      </c>
      <c r="G69" t="inlineStr">
        <is>
          <t>NORBERG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45554</v>
      </c>
      <c r="E70" s="1" t="n">
        <v>46230</v>
      </c>
      <c r="F70" t="inlineStr">
        <is>
          <t>VÄSTMANLANDS LÄN</t>
        </is>
      </c>
      <c r="G70" t="inlineStr">
        <is>
          <t>NORBERG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45169</v>
      </c>
      <c r="E71" s="1" t="n">
        <v>46230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46230</v>
      </c>
      <c r="F72" t="inlineStr">
        <is>
          <t>VÄSTMANLANDS LÄN</t>
        </is>
      </c>
      <c r="G72" t="inlineStr">
        <is>
          <t>NORBERG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46230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45598</v>
      </c>
      <c r="E74" s="1" t="n">
        <v>46230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46019</v>
      </c>
      <c r="E75" s="1" t="n">
        <v>46230</v>
      </c>
      <c r="F75" t="inlineStr">
        <is>
          <t>VÄSTMANLANDS LÄN</t>
        </is>
      </c>
      <c r="G75" t="inlineStr">
        <is>
          <t>NORBERG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46230</v>
      </c>
      <c r="F76" t="inlineStr">
        <is>
          <t>VÄSTMANLANDS LÄN</t>
        </is>
      </c>
      <c r="G76" t="inlineStr">
        <is>
          <t>NORBERG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46139</v>
      </c>
      <c r="E77" s="1" t="n">
        <v>46230</v>
      </c>
      <c r="F77" t="inlineStr">
        <is>
          <t>VÄSTMANLANDS LÄN</t>
        </is>
      </c>
      <c r="G77" t="inlineStr">
        <is>
          <t>NORBERG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45679</v>
      </c>
      <c r="E78" s="1" t="n">
        <v>46230</v>
      </c>
      <c r="F78" t="inlineStr">
        <is>
          <t>VÄSTMANLANDS LÄN</t>
        </is>
      </c>
      <c r="G78" t="inlineStr">
        <is>
          <t>NORBERG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45091</v>
      </c>
      <c r="E79" s="1" t="n">
        <v>46230</v>
      </c>
      <c r="F79" t="inlineStr">
        <is>
          <t>VÄSTMANLANDS LÄN</t>
        </is>
      </c>
      <c r="G79" t="inlineStr">
        <is>
          <t>NORBERG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45631</v>
      </c>
      <c r="E80" s="1" t="n">
        <v>46230</v>
      </c>
      <c r="F80" t="inlineStr">
        <is>
          <t>VÄSTMANLANDS LÄN</t>
        </is>
      </c>
      <c r="G80" t="inlineStr">
        <is>
          <t>NORBERG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44992</v>
      </c>
      <c r="E81" s="1" t="n">
        <v>46230</v>
      </c>
      <c r="F81" t="inlineStr">
        <is>
          <t>VÄSTMANLANDS LÄN</t>
        </is>
      </c>
      <c r="G81" t="inlineStr">
        <is>
          <t>NORBERG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45205</v>
      </c>
      <c r="E82" s="1" t="n">
        <v>46230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49001-2025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46230</v>
      </c>
      <c r="F83" t="inlineStr">
        <is>
          <t>VÄSTMANLANDS LÄN</t>
        </is>
      </c>
      <c r="G83" t="inlineStr">
        <is>
          <t>NORBERG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46230</v>
      </c>
      <c r="F84" t="inlineStr">
        <is>
          <t>VÄSTMANLANDS LÄN</t>
        </is>
      </c>
      <c r="G84" t="inlineStr">
        <is>
          <t>NORBERG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45066-2023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46230</v>
      </c>
      <c r="F85" t="inlineStr">
        <is>
          <t>VÄSTMANLANDS LÄN</t>
        </is>
      </c>
      <c r="G85" t="inlineStr">
        <is>
          <t>NORBERG</t>
        </is>
      </c>
      <c r="H85" t="inlineStr">
        <is>
          <t>Bergvik skog väst AB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20968-2026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46142</v>
      </c>
      <c r="E86" s="1" t="n">
        <v>46230</v>
      </c>
      <c r="F86" t="inlineStr">
        <is>
          <t>VÄSTMANLANDS LÄN</t>
        </is>
      </c>
      <c r="G86" t="inlineStr">
        <is>
          <t>NORBERG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46230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46230</v>
      </c>
      <c r="F88" t="inlineStr">
        <is>
          <t>VÄSTMANLANDS LÄN</t>
        </is>
      </c>
      <c r="G88" t="inlineStr">
        <is>
          <t>NORBERG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21218-2026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46146</v>
      </c>
      <c r="E89" s="1" t="n">
        <v>46230</v>
      </c>
      <c r="F89" t="inlineStr">
        <is>
          <t>VÄSTMANLANDS LÄN</t>
        </is>
      </c>
      <c r="G89" t="inlineStr">
        <is>
          <t>NORBERG</t>
        </is>
      </c>
      <c r="H89" t="inlineStr">
        <is>
          <t>Bergvik skog väst AB</t>
        </is>
      </c>
      <c r="I89" t="n">
        <v>12.1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46148</v>
      </c>
      <c r="E90" s="1" t="n">
        <v>46230</v>
      </c>
      <c r="F90" t="inlineStr">
        <is>
          <t>VÄSTMANLANDS LÄN</t>
        </is>
      </c>
      <c r="G90" t="inlineStr">
        <is>
          <t>NORBERG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45537</v>
      </c>
      <c r="E91" s="1" t="n">
        <v>46230</v>
      </c>
      <c r="F91" t="inlineStr">
        <is>
          <t>VÄSTMANLANDS LÄN</t>
        </is>
      </c>
      <c r="G91" t="inlineStr">
        <is>
          <t>NORBERG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28589-2023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46230</v>
      </c>
      <c r="F92" t="inlineStr">
        <is>
          <t>VÄSTMANLANDS LÄN</t>
        </is>
      </c>
      <c r="G92" t="inlineStr">
        <is>
          <t>NORBERG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45966</v>
      </c>
      <c r="E93" s="1" t="n">
        <v>46230</v>
      </c>
      <c r="F93" t="inlineStr">
        <is>
          <t>VÄSTMANLANDS LÄN</t>
        </is>
      </c>
      <c r="G93" t="inlineStr">
        <is>
          <t>NORBERG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46148</v>
      </c>
      <c r="E94" s="1" t="n">
        <v>46230</v>
      </c>
      <c r="F94" t="inlineStr">
        <is>
          <t>VÄSTMANLANDS LÄN</t>
        </is>
      </c>
      <c r="G94" t="inlineStr">
        <is>
          <t>NORBERG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46149</v>
      </c>
      <c r="E95" s="1" t="n">
        <v>46230</v>
      </c>
      <c r="F95" t="inlineStr">
        <is>
          <t>VÄSTMANLANDS LÄN</t>
        </is>
      </c>
      <c r="G95" t="inlineStr">
        <is>
          <t>NORBERG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46190</v>
      </c>
      <c r="E96" s="1" t="n">
        <v>46230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46230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51790-2024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45607</v>
      </c>
      <c r="E98" s="1" t="n">
        <v>46230</v>
      </c>
      <c r="F98" t="inlineStr">
        <is>
          <t>VÄSTMANLANDS LÄN</t>
        </is>
      </c>
      <c r="G98" t="inlineStr">
        <is>
          <t>NORBERG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21990-2026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46230</v>
      </c>
      <c r="F99" t="inlineStr">
        <is>
          <t>VÄSTMANLANDS LÄN</t>
        </is>
      </c>
      <c r="G99" t="inlineStr">
        <is>
          <t>NORBERG</t>
        </is>
      </c>
      <c r="H99" t="inlineStr">
        <is>
          <t>Övriga Aktiebolag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46230</v>
      </c>
      <c r="F100" t="inlineStr">
        <is>
          <t>VÄSTMANLANDS LÄN</t>
        </is>
      </c>
      <c r="G100" t="inlineStr">
        <is>
          <t>NORBERG</t>
        </is>
      </c>
      <c r="H100" t="inlineStr">
        <is>
          <t>Bergvik skog väst AB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21976-2026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46230</v>
      </c>
      <c r="F101" t="inlineStr">
        <is>
          <t>VÄSTMANLANDS LÄN</t>
        </is>
      </c>
      <c r="G101" t="inlineStr">
        <is>
          <t>NORBERG</t>
        </is>
      </c>
      <c r="H101" t="inlineStr">
        <is>
          <t>Övriga Aktiebolag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21983-2026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46230</v>
      </c>
      <c r="F102" t="inlineStr">
        <is>
          <t>VÄSTMANLANDS LÄN</t>
        </is>
      </c>
      <c r="G102" t="inlineStr">
        <is>
          <t>NORBERG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46230</v>
      </c>
      <c r="F103" t="inlineStr">
        <is>
          <t>VÄSTMANLANDS LÄN</t>
        </is>
      </c>
      <c r="G103" t="inlineStr">
        <is>
          <t>NORBERG</t>
        </is>
      </c>
      <c r="H103" t="inlineStr">
        <is>
          <t>Övriga Aktiebolag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45989</v>
      </c>
      <c r="E104" s="1" t="n">
        <v>46230</v>
      </c>
      <c r="F104" t="inlineStr">
        <is>
          <t>VÄSTMANLANDS LÄN</t>
        </is>
      </c>
      <c r="G104" t="inlineStr">
        <is>
          <t>NORBERG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18960-2025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45764</v>
      </c>
      <c r="E105" s="1" t="n">
        <v>46230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46230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46230</v>
      </c>
      <c r="F107" t="inlineStr">
        <is>
          <t>VÄSTMANLANDS LÄN</t>
        </is>
      </c>
      <c r="G107" t="inlineStr">
        <is>
          <t>NORBERG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46230</v>
      </c>
      <c r="F108" t="inlineStr">
        <is>
          <t>VÄSTMANLANDS LÄN</t>
        </is>
      </c>
      <c r="G108" t="inlineStr">
        <is>
          <t>NORBERG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46230</v>
      </c>
      <c r="F109" t="inlineStr">
        <is>
          <t>VÄSTMANLANDS LÄN</t>
        </is>
      </c>
      <c r="G109" t="inlineStr">
        <is>
          <t>NORBERG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27473-2026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46189</v>
      </c>
      <c r="E110" s="1" t="n">
        <v>46230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13.7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3587-2024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45320</v>
      </c>
      <c r="E111" s="1" t="n">
        <v>46230</v>
      </c>
      <c r="F111" t="inlineStr">
        <is>
          <t>VÄSTMANLANDS LÄN</t>
        </is>
      </c>
      <c r="G111" t="inlineStr">
        <is>
          <t>NORBERG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46230</v>
      </c>
      <c r="F112" t="inlineStr">
        <is>
          <t>VÄSTMANLANDS LÄN</t>
        </is>
      </c>
      <c r="G112" t="inlineStr">
        <is>
          <t>NORBERG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46230</v>
      </c>
      <c r="F113" t="inlineStr">
        <is>
          <t>VÄSTMANLANDS LÄN</t>
        </is>
      </c>
      <c r="G113" t="inlineStr">
        <is>
          <t>NORBERG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46230</v>
      </c>
      <c r="F114" t="inlineStr">
        <is>
          <t>VÄSTMANLANDS LÄN</t>
        </is>
      </c>
      <c r="G114" t="inlineStr">
        <is>
          <t>NORBERG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28607-2026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46230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46230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46230</v>
      </c>
      <c r="F117" t="inlineStr">
        <is>
          <t>VÄSTMANLANDS LÄN</t>
        </is>
      </c>
      <c r="G117" t="inlineStr">
        <is>
          <t>NORBERG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46230</v>
      </c>
      <c r="F118" t="inlineStr">
        <is>
          <t>VÄSTMANLANDS LÄN</t>
        </is>
      </c>
      <c r="G118" t="inlineStr">
        <is>
          <t>NORBERG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62883-2025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46230</v>
      </c>
      <c r="F119" t="inlineStr">
        <is>
          <t>VÄSTMANLANDS LÄN</t>
        </is>
      </c>
      <c r="G119" t="inlineStr">
        <is>
          <t>NORBERG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46014</v>
      </c>
      <c r="E120" s="1" t="n">
        <v>46230</v>
      </c>
      <c r="F120" t="inlineStr">
        <is>
          <t>VÄSTMANLANDS LÄN</t>
        </is>
      </c>
      <c r="G120" t="inlineStr">
        <is>
          <t>NORBERG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46014</v>
      </c>
      <c r="E121" s="1" t="n">
        <v>46230</v>
      </c>
      <c r="F121" t="inlineStr">
        <is>
          <t>VÄSTMANLANDS LÄN</t>
        </is>
      </c>
      <c r="G121" t="inlineStr">
        <is>
          <t>NORBERG</t>
        </is>
      </c>
      <c r="I121" t="n">
        <v>22.8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63907-2025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46020</v>
      </c>
      <c r="E122" s="1" t="n">
        <v>46230</v>
      </c>
      <c r="F122" t="inlineStr">
        <is>
          <t>VÄSTMANLANDS LÄN</t>
        </is>
      </c>
      <c r="G122" t="inlineStr">
        <is>
          <t>NORBERG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19377-2025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45769</v>
      </c>
      <c r="E123" s="1" t="n">
        <v>46230</v>
      </c>
      <c r="F123" t="inlineStr">
        <is>
          <t>VÄSTMANLANDS LÄN</t>
        </is>
      </c>
      <c r="G123" t="inlineStr">
        <is>
          <t>NORBERG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45408</v>
      </c>
      <c r="E124" s="1" t="n">
        <v>46230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45056</v>
      </c>
      <c r="E125" s="1" t="n">
        <v>46230</v>
      </c>
      <c r="F125" t="inlineStr">
        <is>
          <t>VÄSTMANLANDS LÄN</t>
        </is>
      </c>
      <c r="G125" t="inlineStr">
        <is>
          <t>NORBERG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37198-2023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45155</v>
      </c>
      <c r="E126" s="1" t="n">
        <v>46230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56400-2025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45974</v>
      </c>
      <c r="E127" s="1" t="n">
        <v>46230</v>
      </c>
      <c r="F127" t="inlineStr">
        <is>
          <t>VÄSTMANLANDS LÄN</t>
        </is>
      </c>
      <c r="G127" t="inlineStr">
        <is>
          <t>NORBERG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46230</v>
      </c>
      <c r="F128" t="inlineStr">
        <is>
          <t>VÄSTMANLANDS LÄN</t>
        </is>
      </c>
      <c r="G128" t="inlineStr">
        <is>
          <t>NORBERG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20378-2023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45056</v>
      </c>
      <c r="E129" s="1" t="n">
        <v>46230</v>
      </c>
      <c r="F129" t="inlineStr">
        <is>
          <t>VÄSTMANLANDS LÄN</t>
        </is>
      </c>
      <c r="G129" t="inlineStr">
        <is>
          <t>NORBERG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59705-2024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46230</v>
      </c>
      <c r="F130" t="inlineStr">
        <is>
          <t>VÄSTMANLANDS LÄN</t>
        </is>
      </c>
      <c r="G130" t="inlineStr">
        <is>
          <t>NORBERG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46230</v>
      </c>
      <c r="F131" t="inlineStr">
        <is>
          <t>VÄSTMANLANDS LÄN</t>
        </is>
      </c>
      <c r="G131" t="inlineStr">
        <is>
          <t>NORBERG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46230</v>
      </c>
      <c r="F132" t="inlineStr">
        <is>
          <t>VÄSTMANLANDS LÄN</t>
        </is>
      </c>
      <c r="G132" t="inlineStr">
        <is>
          <t>NORBERG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46230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45034</v>
      </c>
      <c r="E134" s="1" t="n">
        <v>46230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60339-2025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45994</v>
      </c>
      <c r="E135" s="1" t="n">
        <v>46230</v>
      </c>
      <c r="F135" t="inlineStr">
        <is>
          <t>VÄSTMANLANDS LÄN</t>
        </is>
      </c>
      <c r="G135" t="inlineStr">
        <is>
          <t>NORBERG</t>
        </is>
      </c>
      <c r="H135" t="inlineStr">
        <is>
          <t>Kommuner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46230</v>
      </c>
      <c r="F136" t="inlineStr">
        <is>
          <t>VÄSTMANLANDS LÄN</t>
        </is>
      </c>
      <c r="G136" t="inlineStr">
        <is>
          <t>NORBERG</t>
        </is>
      </c>
      <c r="H136" t="inlineStr">
        <is>
          <t>Övriga Aktiebolag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46230</v>
      </c>
      <c r="F137" t="inlineStr">
        <is>
          <t>VÄSTMANLANDS LÄN</t>
        </is>
      </c>
      <c r="G137" t="inlineStr">
        <is>
          <t>NORBERG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46230</v>
      </c>
      <c r="F138" t="inlineStr">
        <is>
          <t>VÄSTMANLANDS LÄN</t>
        </is>
      </c>
      <c r="G138" t="inlineStr">
        <is>
          <t>NORBERG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46230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14234-2026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46099</v>
      </c>
      <c r="E140" s="1" t="n">
        <v>46230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45613</v>
      </c>
      <c r="E141" s="1" t="n">
        <v>46230</v>
      </c>
      <c r="F141" t="inlineStr">
        <is>
          <t>VÄSTMANLANDS LÄN</t>
        </is>
      </c>
      <c r="G141" t="inlineStr">
        <is>
          <t>NORBERG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15261-2026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46105</v>
      </c>
      <c r="E142" s="1" t="n">
        <v>46230</v>
      </c>
      <c r="F142" t="inlineStr">
        <is>
          <t>VÄSTMANLANDS LÄN</t>
        </is>
      </c>
      <c r="G142" t="inlineStr">
        <is>
          <t>NORBERG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46230</v>
      </c>
      <c r="F143" t="inlineStr">
        <is>
          <t>VÄSTMANLANDS LÄN</t>
        </is>
      </c>
      <c r="G143" t="inlineStr">
        <is>
          <t>NORBERG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46105</v>
      </c>
      <c r="E144" s="1" t="n">
        <v>46230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46176</v>
      </c>
      <c r="E145" s="1" t="n">
        <v>46230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15981-2026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46108</v>
      </c>
      <c r="E146" s="1" t="n">
        <v>46230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16383-2026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46230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46114</v>
      </c>
      <c r="E148" s="1" t="n">
        <v>46230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46230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17318-2026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46230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46230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45169</v>
      </c>
      <c r="E152" s="1" t="n">
        <v>46230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46223</v>
      </c>
      <c r="E153" s="1" t="n">
        <v>46230</v>
      </c>
      <c r="F153" t="inlineStr">
        <is>
          <t>VÄSTMANLANDS LÄN</t>
        </is>
      </c>
      <c r="G153" t="inlineStr">
        <is>
          <t>NORBERG</t>
        </is>
      </c>
      <c r="I153" t="n">
        <v>9.800000000000001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46230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45200</v>
      </c>
      <c r="E155" s="1" t="n">
        <v>46230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45769</v>
      </c>
      <c r="E156" s="1" t="n">
        <v>46230</v>
      </c>
      <c r="F156" t="inlineStr">
        <is>
          <t>VÄSTMANLANDS LÄN</t>
        </is>
      </c>
      <c r="G156" t="inlineStr">
        <is>
          <t>NORBERG</t>
        </is>
      </c>
      <c r="H156" t="inlineStr">
        <is>
          <t>Övriga Aktiebolag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45089</v>
      </c>
      <c r="E157" s="1" t="n">
        <v>46230</v>
      </c>
      <c r="F157" t="inlineStr">
        <is>
          <t>VÄSTMANLANDS LÄN</t>
        </is>
      </c>
      <c r="G157" t="inlineStr">
        <is>
          <t>NORBERG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46230</v>
      </c>
      <c r="F158" t="inlineStr">
        <is>
          <t>VÄSTMANLANDS LÄN</t>
        </is>
      </c>
      <c r="G158" t="inlineStr">
        <is>
          <t>NORBERG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45632</v>
      </c>
      <c r="E159" s="1" t="n">
        <v>46230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45063</v>
      </c>
      <c r="E160" s="1" t="n">
        <v>46230</v>
      </c>
      <c r="F160" t="inlineStr">
        <is>
          <t>VÄSTMANLANDS LÄN</t>
        </is>
      </c>
      <c r="G160" t="inlineStr">
        <is>
          <t>NORBERG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45607</v>
      </c>
      <c r="E161" s="1" t="n">
        <v>46230</v>
      </c>
      <c r="F161" t="inlineStr">
        <is>
          <t>VÄSTMANLANDS LÄN</t>
        </is>
      </c>
      <c r="G161" t="inlineStr">
        <is>
          <t>NORBERG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45049</v>
      </c>
      <c r="E162" s="1" t="n">
        <v>46230</v>
      </c>
      <c r="F162" t="inlineStr">
        <is>
          <t>VÄSTMANLANDS LÄN</t>
        </is>
      </c>
      <c r="G162" t="inlineStr">
        <is>
          <t>NORBERG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67356-2021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44523</v>
      </c>
      <c r="E163" s="1" t="n">
        <v>46230</v>
      </c>
      <c r="F163" t="inlineStr">
        <is>
          <t>VÄSTMANLANDS LÄN</t>
        </is>
      </c>
      <c r="G163" t="inlineStr">
        <is>
          <t>NORBERG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45405</v>
      </c>
      <c r="E164" s="1" t="n">
        <v>46230</v>
      </c>
      <c r="F164" t="inlineStr">
        <is>
          <t>VÄSTMANLANDS LÄN</t>
        </is>
      </c>
      <c r="G164" t="inlineStr">
        <is>
          <t>NORBERG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45233</v>
      </c>
      <c r="E165" s="1" t="n">
        <v>46230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45121</v>
      </c>
      <c r="E166" s="1" t="n">
        <v>46230</v>
      </c>
      <c r="F166" t="inlineStr">
        <is>
          <t>VÄSTMANLANDS LÄN</t>
        </is>
      </c>
      <c r="G166" t="inlineStr">
        <is>
          <t>NORBERG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45028</v>
      </c>
      <c r="E167" s="1" t="n">
        <v>46230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46230</v>
      </c>
      <c r="F168" t="inlineStr">
        <is>
          <t>VÄSTMANLANDS LÄN</t>
        </is>
      </c>
      <c r="G168" t="inlineStr">
        <is>
          <t>NORBERG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45567</v>
      </c>
      <c r="E169" s="1" t="n">
        <v>46230</v>
      </c>
      <c r="F169" t="inlineStr">
        <is>
          <t>VÄSTMANLANDS LÄN</t>
        </is>
      </c>
      <c r="G169" t="inlineStr">
        <is>
          <t>NORBERG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24540-2022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44727</v>
      </c>
      <c r="E170" s="1" t="n">
        <v>46230</v>
      </c>
      <c r="F170" t="inlineStr">
        <is>
          <t>VÄSTMANLANDS LÄN</t>
        </is>
      </c>
      <c r="G170" t="inlineStr">
        <is>
          <t>NORBERG</t>
        </is>
      </c>
      <c r="H170" t="inlineStr">
        <is>
          <t>Bergvik skog väst AB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45607</v>
      </c>
      <c r="E171" s="1" t="n">
        <v>46230</v>
      </c>
      <c r="F171" t="inlineStr">
        <is>
          <t>VÄSTMANLANDS LÄN</t>
        </is>
      </c>
      <c r="G171" t="inlineStr">
        <is>
          <t>NORBERG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46230</v>
      </c>
      <c r="F172" t="inlineStr">
        <is>
          <t>VÄSTMANLANDS LÄN</t>
        </is>
      </c>
      <c r="G172" t="inlineStr">
        <is>
          <t>NORBERG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46230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46230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21232-2024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45440</v>
      </c>
      <c r="E175" s="1" t="n">
        <v>46230</v>
      </c>
      <c r="F175" t="inlineStr">
        <is>
          <t>VÄSTMANLANDS LÄN</t>
        </is>
      </c>
      <c r="G175" t="inlineStr">
        <is>
          <t>NORBERG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45065-2023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46230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46230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46230</v>
      </c>
      <c r="F178" t="inlineStr">
        <is>
          <t>VÄSTMANLANDS LÄN</t>
        </is>
      </c>
      <c r="G178" t="inlineStr">
        <is>
          <t>NORBERG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46230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46230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45576</v>
      </c>
      <c r="E181" s="1" t="n">
        <v>46230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63495-2023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45274</v>
      </c>
      <c r="E182" s="1" t="n">
        <v>46230</v>
      </c>
      <c r="F182" t="inlineStr">
        <is>
          <t>VÄSTMANLANDS LÄN</t>
        </is>
      </c>
      <c r="G182" t="inlineStr">
        <is>
          <t>NORBERG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46230</v>
      </c>
      <c r="F183" t="inlineStr">
        <is>
          <t>VÄSTMANLANDS LÄN</t>
        </is>
      </c>
      <c r="G183" t="inlineStr">
        <is>
          <t>NORBERG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46230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S 409-2022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44585</v>
      </c>
      <c r="E185" s="1" t="n">
        <v>46230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S 606-2026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46085</v>
      </c>
      <c r="E186" s="1" t="n">
        <v>46230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26.4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2026-07-27T01:52:26Z</dcterms:created>
  <dcterms:modified xmlns:dcterms="http://purl.org/dc/terms/" xmlns:xsi="http://www.w3.org/2001/XMLSchema-instance" xsi:type="dcterms:W3CDTF">2026-07-27T01:52:26Z</dcterms:modified>
</cp:coreProperties>
</file>