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46296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46296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46296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46296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46296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18128-2024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45420</v>
      </c>
      <c r="E8" s="1" t="n">
        <v>46296</v>
      </c>
      <c r="F8" t="inlineStr">
        <is>
          <t>VÄSTMANLANDS LÄN</t>
        </is>
      </c>
      <c r="G8" t="inlineStr">
        <is>
          <t>NORBERG</t>
        </is>
      </c>
      <c r="I8" t="n">
        <v>0.8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Gulsparv
Fläcknycklar</t>
        </is>
      </c>
      <c r="W8">
        <f>HYPERLINK("https://klasma.github.io/Logging_1962/artfynd/A 18128-2024 artfynd.xlsx", "A 18128-2024")</f>
        <v/>
      </c>
      <c r="X8">
        <f>HYPERLINK("https://klasma.github.io/Logging_1962/kartor/A 18128-2024 karta.png", "A 18128-2024")</f>
        <v/>
      </c>
      <c r="Y8">
        <f>HYPERLINK("https://klasma.github.io/Logging_1962/kartor_geotiff/A 18128-2024 georefererad karta.tif", "A 18128-2024")</f>
        <v/>
      </c>
      <c r="AA8">
        <f>HYPERLINK("https://klasma.github.io/Logging_1962/klagomål/A 18128-2024 FSC-klagomål.docx", "A 18128-2024")</f>
        <v/>
      </c>
      <c r="AB8">
        <f>HYPERLINK("https://klasma.github.io/Logging_1962/klagomålsmail/A 18128-2024 FSC-klagomål mail.docx", "A 18128-2024")</f>
        <v/>
      </c>
      <c r="AC8">
        <f>HYPERLINK("https://klasma.github.io/Logging_1962/tillsyn/A 18128-2024 tillsynsbegäran.docx", "A 18128-2024")</f>
        <v/>
      </c>
      <c r="AD8">
        <f>HYPERLINK("https://klasma.github.io/Logging_1962/tillsynsmail/A 18128-2024 tillsynsbegäran mail.docx", "A 18128-2024")</f>
        <v/>
      </c>
      <c r="AE8">
        <f>HYPERLINK("https://klasma.github.io/Logging_1962/fåglar/A 18128-2024 prioriterade fågelarter.docx", "A 18128-2024")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46296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46296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26072-2023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46296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26072-2023 artfynd.xlsx", "A 26072-2023")</f>
        <v/>
      </c>
      <c r="X11">
        <f>HYPERLINK("https://klasma.github.io/Logging_1962/kartor/A 26072-2023 karta.png", "A 26072-2023")</f>
        <v/>
      </c>
      <c r="Y11">
        <f>HYPERLINK("https://klasma.github.io/Logging_1962/kartor_geotiff/A 26072-2023 georefererad karta.tif", "A 26072-2023")</f>
        <v/>
      </c>
      <c r="AA11">
        <f>HYPERLINK("https://klasma.github.io/Logging_1962/klagomål/A 26072-2023 FSC-klagomål.docx", "A 26072-2023")</f>
        <v/>
      </c>
      <c r="AB11">
        <f>HYPERLINK("https://klasma.github.io/Logging_1962/klagomålsmail/A 26072-2023 FSC-klagomål mail.docx", "A 26072-2023")</f>
        <v/>
      </c>
      <c r="AC11">
        <f>HYPERLINK("https://klasma.github.io/Logging_1962/tillsyn/A 26072-2023 tillsynsbegäran.docx", "A 26072-2023")</f>
        <v/>
      </c>
      <c r="AD11">
        <f>HYPERLINK("https://klasma.github.io/Logging_1962/tillsynsmail/A 26072-2023 tillsynsbegäran mail.docx", "A 26072-2023")</f>
        <v/>
      </c>
      <c r="AE11">
        <f>HYPERLINK("https://klasma.github.io/Logging_1962/fåglar/A 26072-2023 prioriterade fågelarter.docx", "A 26072-2023")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46296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46296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46296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15107-2025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45744</v>
      </c>
      <c r="E15" s="1" t="n">
        <v>46296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15107-2025 artfynd.xlsx", "A 15107-2025")</f>
        <v/>
      </c>
      <c r="X15">
        <f>HYPERLINK("https://klasma.github.io/Logging_1962/kartor/A 15107-2025 karta.png", "A 15107-2025")</f>
        <v/>
      </c>
      <c r="Y15">
        <f>HYPERLINK("https://klasma.github.io/Logging_1962/kartor_geotiff/A 15107-2025 georefererad karta.tif", "A 15107-2025")</f>
        <v/>
      </c>
      <c r="AA15">
        <f>HYPERLINK("https://klasma.github.io/Logging_1962/klagomål/A 15107-2025 FSC-klagomål.docx", "A 15107-2025")</f>
        <v/>
      </c>
      <c r="AB15">
        <f>HYPERLINK("https://klasma.github.io/Logging_1962/klagomålsmail/A 15107-2025 FSC-klagomål mail.docx", "A 15107-2025")</f>
        <v/>
      </c>
      <c r="AC15">
        <f>HYPERLINK("https://klasma.github.io/Logging_1962/tillsyn/A 15107-2025 tillsynsbegäran.docx", "A 15107-2025")</f>
        <v/>
      </c>
      <c r="AD15">
        <f>HYPERLINK("https://klasma.github.io/Logging_1962/tillsynsmail/A 15107-2025 tillsynsbegäran mail.docx", "A 15107-2025")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46296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46296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20257-2025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45773</v>
      </c>
      <c r="E18" s="1" t="n">
        <v>46296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1.5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20257-2025 artfynd.xlsx", "A 20257-2025")</f>
        <v/>
      </c>
      <c r="X18">
        <f>HYPERLINK("https://klasma.github.io/Logging_1962/kartor/A 20257-2025 karta.png", "A 20257-2025")</f>
        <v/>
      </c>
      <c r="Y18">
        <f>HYPERLINK("https://klasma.github.io/Logging_1962/kartor_geotiff/A 20257-2025 georefererad karta.tif", "A 20257-2025")</f>
        <v/>
      </c>
      <c r="AA18">
        <f>HYPERLINK("https://klasma.github.io/Logging_1962/klagomål/A 20257-2025 FSC-klagomål.docx", "A 20257-2025")</f>
        <v/>
      </c>
      <c r="AB18">
        <f>HYPERLINK("https://klasma.github.io/Logging_1962/klagomålsmail/A 20257-2025 FSC-klagomål mail.docx", "A 20257-2025")</f>
        <v/>
      </c>
      <c r="AC18">
        <f>HYPERLINK("https://klasma.github.io/Logging_1962/tillsyn/A 20257-2025 tillsynsbegäran.docx", "A 20257-2025")</f>
        <v/>
      </c>
      <c r="AD18">
        <f>HYPERLINK("https://klasma.github.io/Logging_1962/tillsynsmail/A 20257-2025 tillsynsbegäran mail.docx", "A 20257-2025")</f>
        <v/>
      </c>
    </row>
    <row r="19" ht="15" customHeight="1">
      <c r="A19" t="inlineStr">
        <is>
          <t>A 52063-2022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44873</v>
      </c>
      <c r="E19" s="1" t="n">
        <v>46296</v>
      </c>
      <c r="F19" t="inlineStr">
        <is>
          <t>VÄSTMANLANDS LÄN</t>
        </is>
      </c>
      <c r="G19" t="inlineStr">
        <is>
          <t>NORBERG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52063-2022 artfynd.xlsx", "A 52063-2022")</f>
        <v/>
      </c>
      <c r="X19">
        <f>HYPERLINK("https://klasma.github.io/Logging_1962/kartor/A 52063-2022 karta.png", "A 52063-2022")</f>
        <v/>
      </c>
      <c r="Y19">
        <f>HYPERLINK("https://klasma.github.io/Logging_1962/kartor_geotiff/A 52063-2022 georefererad karta.tif", "A 52063-2022")</f>
        <v/>
      </c>
      <c r="AA19">
        <f>HYPERLINK("https://klasma.github.io/Logging_1962/klagomål/A 52063-2022 FSC-klagomål.docx", "A 52063-2022")</f>
        <v/>
      </c>
      <c r="AB19">
        <f>HYPERLINK("https://klasma.github.io/Logging_1962/klagomålsmail/A 52063-2022 FSC-klagomål mail.docx", "A 52063-2022")</f>
        <v/>
      </c>
      <c r="AC19">
        <f>HYPERLINK("https://klasma.github.io/Logging_1962/tillsyn/A 52063-2022 tillsynsbegäran.docx", "A 52063-2022")</f>
        <v/>
      </c>
      <c r="AD19">
        <f>HYPERLINK("https://klasma.github.io/Logging_1962/tillsynsmail/A 52063-2022 tillsynsbegäran mail.docx", "A 52063-2022")</f>
        <v/>
      </c>
    </row>
    <row r="20" ht="15" customHeight="1">
      <c r="A20" t="inlineStr">
        <is>
          <t>A 34967-2023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45142</v>
      </c>
      <c r="E20" s="1" t="n">
        <v>46296</v>
      </c>
      <c r="F20" t="inlineStr">
        <is>
          <t>VÄSTMANLANDS LÄN</t>
        </is>
      </c>
      <c r="G20" t="inlineStr">
        <is>
          <t>NORBERG</t>
        </is>
      </c>
      <c r="H20" t="inlineStr">
        <is>
          <t>Kyrkan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Skogsklocka</t>
        </is>
      </c>
      <c r="W20">
        <f>HYPERLINK("https://klasma.github.io/Logging_1962/artfynd/A 34967-2023 artfynd.xlsx", "A 34967-2023")</f>
        <v/>
      </c>
      <c r="X20">
        <f>HYPERLINK("https://klasma.github.io/Logging_1962/kartor/A 34967-2023 karta.png", "A 34967-2023")</f>
        <v/>
      </c>
      <c r="Y20">
        <f>HYPERLINK("https://klasma.github.io/Logging_1962/kartor_geotiff/A 34967-2023 georefererad karta.tif", "A 34967-2023")</f>
        <v/>
      </c>
      <c r="AA20">
        <f>HYPERLINK("https://klasma.github.io/Logging_1962/klagomål/A 34967-2023 FSC-klagomål.docx", "A 34967-2023")</f>
        <v/>
      </c>
      <c r="AB20">
        <f>HYPERLINK("https://klasma.github.io/Logging_1962/klagomålsmail/A 34967-2023 FSC-klagomål mail.docx", "A 34967-2023")</f>
        <v/>
      </c>
      <c r="AC20">
        <f>HYPERLINK("https://klasma.github.io/Logging_1962/tillsyn/A 34967-2023 tillsynsbegäran.docx", "A 34967-2023")</f>
        <v/>
      </c>
      <c r="AD20">
        <f>HYPERLINK("https://klasma.github.io/Logging_1962/tillsynsmail/A 34967-2023 tillsynsbegäran mail.docx", "A 34967-2023")</f>
        <v/>
      </c>
    </row>
    <row r="21" ht="15" customHeight="1">
      <c r="A21" t="inlineStr">
        <is>
          <t>A 38017-2025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45882</v>
      </c>
      <c r="E21" s="1" t="n">
        <v>46296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15.5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HYPERLINK("https://klasma.github.io/Logging_1962/artfynd/A 38017-2025 artfynd.xlsx", "A 38017-2025")</f>
        <v/>
      </c>
      <c r="X21">
        <f>HYPERLINK("https://klasma.github.io/Logging_1962/kartor/A 38017-2025 karta.png", "A 38017-2025")</f>
        <v/>
      </c>
      <c r="Y21">
        <f>HYPERLINK("https://klasma.github.io/Logging_1962/kartor_geotiff/A 38017-2025 georefererad karta.tif", "A 38017-2025")</f>
        <v/>
      </c>
      <c r="AA21">
        <f>HYPERLINK("https://klasma.github.io/Logging_1962/klagomål/A 38017-2025 FSC-klagomål.docx", "A 38017-2025")</f>
        <v/>
      </c>
      <c r="AB21">
        <f>HYPERLINK("https://klasma.github.io/Logging_1962/klagomålsmail/A 38017-2025 FSC-klagomål mail.docx", "A 38017-2025")</f>
        <v/>
      </c>
      <c r="AC21">
        <f>HYPERLINK("https://klasma.github.io/Logging_1962/tillsyn/A 38017-2025 tillsynsbegäran.docx", "A 38017-2025")</f>
        <v/>
      </c>
      <c r="AD21">
        <f>HYPERLINK("https://klasma.github.io/Logging_1962/tillsynsmail/A 38017-2025 tillsynsbegäran mail.docx", "A 38017-2025")</f>
        <v/>
      </c>
    </row>
    <row r="22" ht="15" customHeight="1">
      <c r="A22" t="inlineStr">
        <is>
          <t>A 20407-2026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46139</v>
      </c>
      <c r="E22" s="1" t="n">
        <v>46296</v>
      </c>
      <c r="F22" t="inlineStr">
        <is>
          <t>VÄSTMANLANDS LÄN</t>
        </is>
      </c>
      <c r="G22" t="inlineStr">
        <is>
          <t>NORBERG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HYPERLINK("https://klasma.github.io/Logging_1962/artfynd/A 20407-2026 artfynd.xlsx", "A 20407-2026")</f>
        <v/>
      </c>
      <c r="X22">
        <f>HYPERLINK("https://klasma.github.io/Logging_1962/kartor/A 20407-2026 karta.png", "A 20407-2026")</f>
        <v/>
      </c>
      <c r="Y22">
        <f>HYPERLINK("https://klasma.github.io/Logging_1962/kartor_geotiff/A 20407-2026 georefererad karta.tif", "A 20407-2026")</f>
        <v/>
      </c>
      <c r="AA22">
        <f>HYPERLINK("https://klasma.github.io/Logging_1962/klagomål/A 20407-2026 FSC-klagomål.docx", "A 20407-2026")</f>
        <v/>
      </c>
      <c r="AB22">
        <f>HYPERLINK("https://klasma.github.io/Logging_1962/klagomålsmail/A 20407-2026 FSC-klagomål mail.docx", "A 20407-2026")</f>
        <v/>
      </c>
      <c r="AC22">
        <f>HYPERLINK("https://klasma.github.io/Logging_1962/tillsyn/A 20407-2026 tillsynsbegäran.docx", "A 20407-2026")</f>
        <v/>
      </c>
      <c r="AD22">
        <f>HYPERLINK("https://klasma.github.io/Logging_1962/tillsynsmail/A 20407-2026 tillsynsbegäran mail.docx", "A 20407-2026")</f>
        <v/>
      </c>
      <c r="AE22">
        <f>HYPERLINK("https://klasma.github.io/Logging_1962/fåglar/A 20407-2026 prioriterade fågelarter.docx", "A 20407-2026")</f>
        <v/>
      </c>
    </row>
    <row r="23" ht="15" customHeight="1">
      <c r="A23" t="inlineStr">
        <is>
          <t>A 28307-2026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46196</v>
      </c>
      <c r="E23" s="1" t="n">
        <v>46296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Plattlummer</t>
        </is>
      </c>
      <c r="W23">
        <f>HYPERLINK("https://klasma.github.io/Logging_1962/artfynd/A 28307-2026 artfynd.xlsx", "A 28307-2026")</f>
        <v/>
      </c>
      <c r="X23">
        <f>HYPERLINK("https://klasma.github.io/Logging_1962/kartor/A 28307-2026 karta.png", "A 28307-2026")</f>
        <v/>
      </c>
      <c r="Y23">
        <f>HYPERLINK("https://klasma.github.io/Logging_1962/kartor_geotiff/A 28307-2026 georefererad karta.tif", "A 28307-2026")</f>
        <v/>
      </c>
      <c r="AA23">
        <f>HYPERLINK("https://klasma.github.io/Logging_1962/klagomål/A 28307-2026 FSC-klagomål.docx", "A 28307-2026")</f>
        <v/>
      </c>
      <c r="AB23">
        <f>HYPERLINK("https://klasma.github.io/Logging_1962/klagomålsmail/A 28307-2026 FSC-klagomål mail.docx", "A 28307-2026")</f>
        <v/>
      </c>
      <c r="AC23">
        <f>HYPERLINK("https://klasma.github.io/Logging_1962/tillsyn/A 28307-2026 tillsynsbegäran.docx", "A 28307-2026")</f>
        <v/>
      </c>
      <c r="AD23">
        <f>HYPERLINK("https://klasma.github.io/Logging_1962/tillsynsmail/A 28307-2026 tillsynsbegäran mail.docx", "A 28307-2026")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46296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38927-2026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46296</v>
      </c>
      <c r="F25" t="inlineStr">
        <is>
          <t>VÄSTMANLANDS LÄN</t>
        </is>
      </c>
      <c r="G25" t="inlineStr">
        <is>
          <t>NORBERG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HYPERLINK("https://klasma.github.io/Logging_1962/artfynd/A 38927-2026 artfynd.xlsx", "A 38927-2026")</f>
        <v/>
      </c>
      <c r="X25">
        <f>HYPERLINK("https://klasma.github.io/Logging_1962/kartor/A 38927-2026 karta.png", "A 38927-2026")</f>
        <v/>
      </c>
      <c r="Y25">
        <f>HYPERLINK("https://klasma.github.io/Logging_1962/kartor_geotiff/A 38927-2026 georefererad karta.tif", "A 38927-2026")</f>
        <v/>
      </c>
      <c r="AA25">
        <f>HYPERLINK("https://klasma.github.io/Logging_1962/klagomål/A 38927-2026 FSC-klagomål.docx", "A 38927-2026")</f>
        <v/>
      </c>
      <c r="AB25">
        <f>HYPERLINK("https://klasma.github.io/Logging_1962/klagomålsmail/A 38927-2026 FSC-klagomål mail.docx", "A 38927-2026")</f>
        <v/>
      </c>
      <c r="AC25">
        <f>HYPERLINK("https://klasma.github.io/Logging_1962/tillsyn/A 38927-2026 tillsynsbegäran.docx", "A 38927-2026")</f>
        <v/>
      </c>
      <c r="AD25">
        <f>HYPERLINK("https://klasma.github.io/Logging_1962/tillsynsmail/A 38927-2026 tillsynsbegäran mail.docx", "A 38927-2026")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46296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34234-2026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46296</v>
      </c>
      <c r="F27" t="inlineStr">
        <is>
          <t>VÄSTMANLANDS LÄN</t>
        </is>
      </c>
      <c r="G27" t="inlineStr">
        <is>
          <t>NORBERG</t>
        </is>
      </c>
      <c r="I27" t="n">
        <v>0.8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34234-2026 artfynd.xlsx", "A 34234-2026")</f>
        <v/>
      </c>
      <c r="X27">
        <f>HYPERLINK("https://klasma.github.io/Logging_1962/kartor/A 34234-2026 karta.png", "A 34234-2026")</f>
        <v/>
      </c>
      <c r="Y27">
        <f>HYPERLINK("https://klasma.github.io/Logging_1962/kartor_geotiff/A 34234-2026 georefererad karta.tif", "A 34234-2026")</f>
        <v/>
      </c>
      <c r="AA27">
        <f>HYPERLINK("https://klasma.github.io/Logging_1962/klagomål/A 34234-2026 FSC-klagomål.docx", "A 34234-2026")</f>
        <v/>
      </c>
      <c r="AB27">
        <f>HYPERLINK("https://klasma.github.io/Logging_1962/klagomålsmail/A 34234-2026 FSC-klagomål mail.docx", "A 34234-2026")</f>
        <v/>
      </c>
      <c r="AC27">
        <f>HYPERLINK("https://klasma.github.io/Logging_1962/tillsyn/A 34234-2026 tillsynsbegäran.docx", "A 34234-2026")</f>
        <v/>
      </c>
      <c r="AD27">
        <f>HYPERLINK("https://klasma.github.io/Logging_1962/tillsynsmail/A 34234-2026 tillsynsbegäran mail.docx", "A 34234-2026")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46296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46296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46296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46296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46296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46296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46296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46296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46296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46296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46296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46296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46296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46296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56929-2021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44480</v>
      </c>
      <c r="E42" s="1" t="n">
        <v>46296</v>
      </c>
      <c r="F42" t="inlineStr">
        <is>
          <t>VÄSTMANLANDS LÄN</t>
        </is>
      </c>
      <c r="G42" t="inlineStr">
        <is>
          <t>NORBERG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46296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46296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46296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63505-2023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45274</v>
      </c>
      <c r="E46" s="1" t="n">
        <v>46296</v>
      </c>
      <c r="F46" t="inlineStr">
        <is>
          <t>VÄSTMANLANDS LÄN</t>
        </is>
      </c>
      <c r="G46" t="inlineStr">
        <is>
          <t>NORBERG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46296</v>
      </c>
      <c r="F47" t="inlineStr">
        <is>
          <t>VÄSTMANLANDS LÄN</t>
        </is>
      </c>
      <c r="G47" t="inlineStr">
        <is>
          <t>NORBERG</t>
        </is>
      </c>
      <c r="H47" t="inlineStr">
        <is>
          <t>Bergvik skog väst AB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42198-2023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45179</v>
      </c>
      <c r="E48" s="1" t="n">
        <v>46296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19377-2025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45769</v>
      </c>
      <c r="E49" s="1" t="n">
        <v>46296</v>
      </c>
      <c r="F49" t="inlineStr">
        <is>
          <t>VÄSTMANLANDS LÄN</t>
        </is>
      </c>
      <c r="G49" t="inlineStr">
        <is>
          <t>NORBERG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46296</v>
      </c>
      <c r="F50" t="inlineStr">
        <is>
          <t>VÄSTMANLANDS LÄN</t>
        </is>
      </c>
      <c r="G50" t="inlineStr">
        <is>
          <t>NORBERG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16629-2024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45408</v>
      </c>
      <c r="E51" s="1" t="n">
        <v>46296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8.800000000000001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46296</v>
      </c>
      <c r="F52" t="inlineStr">
        <is>
          <t>VÄSTMANLANDS LÄN</t>
        </is>
      </c>
      <c r="G52" t="inlineStr">
        <is>
          <t>NORBERG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46296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45001</v>
      </c>
      <c r="E54" s="1" t="n">
        <v>46296</v>
      </c>
      <c r="F54" t="inlineStr">
        <is>
          <t>VÄSTMANLANDS LÄN</t>
        </is>
      </c>
      <c r="G54" t="inlineStr">
        <is>
          <t>NORBERG</t>
        </is>
      </c>
      <c r="I54" t="n">
        <v>22.4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45121</v>
      </c>
      <c r="E55" s="1" t="n">
        <v>46296</v>
      </c>
      <c r="F55" t="inlineStr">
        <is>
          <t>VÄSTMANLANDS LÄN</t>
        </is>
      </c>
      <c r="G55" t="inlineStr">
        <is>
          <t>NORBERG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20381-2023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45056</v>
      </c>
      <c r="E56" s="1" t="n">
        <v>46296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16225-2023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45028</v>
      </c>
      <c r="E57" s="1" t="n">
        <v>46296</v>
      </c>
      <c r="F57" t="inlineStr">
        <is>
          <t>VÄSTMANLANDS LÄN</t>
        </is>
      </c>
      <c r="G57" t="inlineStr">
        <is>
          <t>NORBERG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51778-2024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45607</v>
      </c>
      <c r="E58" s="1" t="n">
        <v>46296</v>
      </c>
      <c r="F58" t="inlineStr">
        <is>
          <t>VÄSTMANLANDS LÄN</t>
        </is>
      </c>
      <c r="G58" t="inlineStr">
        <is>
          <t>NORBERG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46296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44628</v>
      </c>
      <c r="E60" s="1" t="n">
        <v>46296</v>
      </c>
      <c r="F60" t="inlineStr">
        <is>
          <t>VÄSTMANLANDS LÄN</t>
        </is>
      </c>
      <c r="G60" t="inlineStr">
        <is>
          <t>NORBERG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73797-2021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44552</v>
      </c>
      <c r="E61" s="1" t="n">
        <v>46296</v>
      </c>
      <c r="F61" t="inlineStr">
        <is>
          <t>VÄSTMANLANDS LÄN</t>
        </is>
      </c>
      <c r="G61" t="inlineStr">
        <is>
          <t>NORBERG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20378-2023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45056</v>
      </c>
      <c r="E62" s="1" t="n">
        <v>46296</v>
      </c>
      <c r="F62" t="inlineStr">
        <is>
          <t>VÄSTMANLANDS LÄN</t>
        </is>
      </c>
      <c r="G62" t="inlineStr">
        <is>
          <t>NORBERG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46296</v>
      </c>
      <c r="F63" t="inlineStr">
        <is>
          <t>VÄSTMANLANDS LÄN</t>
        </is>
      </c>
      <c r="G63" t="inlineStr">
        <is>
          <t>NORBERG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45639</v>
      </c>
      <c r="E64" s="1" t="n">
        <v>46296</v>
      </c>
      <c r="F64" t="inlineStr">
        <is>
          <t>VÄSTMANLANDS LÄN</t>
        </is>
      </c>
      <c r="G64" t="inlineStr">
        <is>
          <t>NORBERG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45474</v>
      </c>
      <c r="E65" s="1" t="n">
        <v>46296</v>
      </c>
      <c r="F65" t="inlineStr">
        <is>
          <t>VÄSTMANLANDS LÄN</t>
        </is>
      </c>
      <c r="G65" t="inlineStr">
        <is>
          <t>NORBERG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45567</v>
      </c>
      <c r="E66" s="1" t="n">
        <v>46296</v>
      </c>
      <c r="F66" t="inlineStr">
        <is>
          <t>VÄSTMANLANDS LÄN</t>
        </is>
      </c>
      <c r="G66" t="inlineStr">
        <is>
          <t>NORBERG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45729</v>
      </c>
      <c r="E67" s="1" t="n">
        <v>46296</v>
      </c>
      <c r="F67" t="inlineStr">
        <is>
          <t>VÄSTMANLANDS LÄN</t>
        </is>
      </c>
      <c r="G67" t="inlineStr">
        <is>
          <t>NORBERG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47753-2024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46296</v>
      </c>
      <c r="F68" t="inlineStr">
        <is>
          <t>VÄSTMANLANDS LÄN</t>
        </is>
      </c>
      <c r="G68" t="inlineStr">
        <is>
          <t>NORBERG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7744-2023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44973</v>
      </c>
      <c r="E69" s="1" t="n">
        <v>46296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46296</v>
      </c>
      <c r="F70" t="inlineStr">
        <is>
          <t>VÄSTMANLANDS LÄN</t>
        </is>
      </c>
      <c r="G70" t="inlineStr">
        <is>
          <t>NORBERG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19173-2025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45769</v>
      </c>
      <c r="E71" s="1" t="n">
        <v>46296</v>
      </c>
      <c r="F71" t="inlineStr">
        <is>
          <t>VÄSTMANLANDS LÄN</t>
        </is>
      </c>
      <c r="G71" t="inlineStr">
        <is>
          <t>NORBERG</t>
        </is>
      </c>
      <c r="H71" t="inlineStr">
        <is>
          <t>Övriga Aktiebolag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46296</v>
      </c>
      <c r="F72" t="inlineStr">
        <is>
          <t>VÄSTMANLANDS LÄN</t>
        </is>
      </c>
      <c r="G72" t="inlineStr">
        <is>
          <t>NORBERG</t>
        </is>
      </c>
      <c r="H72" t="inlineStr">
        <is>
          <t>Bergvik skog väst AB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46296</v>
      </c>
      <c r="F73" t="inlineStr">
        <is>
          <t>VÄSTMANLANDS LÄN</t>
        </is>
      </c>
      <c r="G73" t="inlineStr">
        <is>
          <t>NORBERG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45034</v>
      </c>
      <c r="E74" s="1" t="n">
        <v>46296</v>
      </c>
      <c r="F74" t="inlineStr">
        <is>
          <t>VÄSTMANLANDS LÄN</t>
        </is>
      </c>
      <c r="G74" t="inlineStr">
        <is>
          <t>NORBERG</t>
        </is>
      </c>
      <c r="H74" t="inlineStr">
        <is>
          <t>Bergvik skog väst AB</t>
        </is>
      </c>
      <c r="I74" t="n">
        <v>8.1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46296</v>
      </c>
      <c r="F75" t="inlineStr">
        <is>
          <t>VÄSTMANLANDS LÄN</t>
        </is>
      </c>
      <c r="G75" t="inlineStr">
        <is>
          <t>NORBERG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11099-2023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46296</v>
      </c>
      <c r="F76" t="inlineStr">
        <is>
          <t>VÄSTMANLANDS LÄN</t>
        </is>
      </c>
      <c r="G76" t="inlineStr">
        <is>
          <t>NORBERG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40144-2023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45169</v>
      </c>
      <c r="E77" s="1" t="n">
        <v>46296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40154-2023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45169</v>
      </c>
      <c r="E78" s="1" t="n">
        <v>46296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46296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45679</v>
      </c>
      <c r="E80" s="1" t="n">
        <v>46296</v>
      </c>
      <c r="F80" t="inlineStr">
        <is>
          <t>VÄSTMANLANDS LÄN</t>
        </is>
      </c>
      <c r="G80" t="inlineStr">
        <is>
          <t>NORBERG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37011-2023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46296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7.6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21232-2024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45440</v>
      </c>
      <c r="E82" s="1" t="n">
        <v>46296</v>
      </c>
      <c r="F82" t="inlineStr">
        <is>
          <t>VÄSTMANLANDS LÄN</t>
        </is>
      </c>
      <c r="G82" t="inlineStr">
        <is>
          <t>NORBERG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46296</v>
      </c>
      <c r="F83" t="inlineStr">
        <is>
          <t>VÄSTMANLANDS LÄN</t>
        </is>
      </c>
      <c r="G83" t="inlineStr">
        <is>
          <t>NORBERG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46296</v>
      </c>
      <c r="F84" t="inlineStr">
        <is>
          <t>VÄSTMANLANDS LÄN</t>
        </is>
      </c>
      <c r="G84" t="inlineStr">
        <is>
          <t>NORBERG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45065-2023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46296</v>
      </c>
      <c r="F85" t="inlineStr">
        <is>
          <t>VÄSTMANLANDS LÄN</t>
        </is>
      </c>
      <c r="G85" t="inlineStr">
        <is>
          <t>NORBERG</t>
        </is>
      </c>
      <c r="H85" t="inlineStr">
        <is>
          <t>Bergvik skog väst AB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45474</v>
      </c>
      <c r="E86" s="1" t="n">
        <v>46296</v>
      </c>
      <c r="F86" t="inlineStr">
        <is>
          <t>VÄSTMANLANDS LÄN</t>
        </is>
      </c>
      <c r="G86" t="inlineStr">
        <is>
          <t>NORBERG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46296</v>
      </c>
      <c r="F87" t="inlineStr">
        <is>
          <t>VÄSTMANLANDS LÄN</t>
        </is>
      </c>
      <c r="G87" t="inlineStr">
        <is>
          <t>NORBERG</t>
        </is>
      </c>
      <c r="H87" t="inlineStr">
        <is>
          <t>Bergvik skog väst AB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46296</v>
      </c>
      <c r="F88" t="inlineStr">
        <is>
          <t>VÄSTMANLANDS LÄN</t>
        </is>
      </c>
      <c r="G88" t="inlineStr">
        <is>
          <t>NORBERG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45205</v>
      </c>
      <c r="E89" s="1" t="n">
        <v>46296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45613</v>
      </c>
      <c r="E90" s="1" t="n">
        <v>46296</v>
      </c>
      <c r="F90" t="inlineStr">
        <is>
          <t>VÄSTMANLANDS LÄN</t>
        </is>
      </c>
      <c r="G90" t="inlineStr">
        <is>
          <t>NORBERG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46296</v>
      </c>
      <c r="F91" t="inlineStr">
        <is>
          <t>VÄSTMANLANDS LÄN</t>
        </is>
      </c>
      <c r="G91" t="inlineStr">
        <is>
          <t>NORBERG</t>
        </is>
      </c>
      <c r="H91" t="inlineStr">
        <is>
          <t>Bergvik skog väst AB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45792</v>
      </c>
      <c r="E92" s="1" t="n">
        <v>46296</v>
      </c>
      <c r="F92" t="inlineStr">
        <is>
          <t>VÄSTMANLANDS LÄN</t>
        </is>
      </c>
      <c r="G92" t="inlineStr">
        <is>
          <t>NORBERG</t>
        </is>
      </c>
      <c r="H92" t="inlineStr">
        <is>
          <t>Övriga Aktiebolag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45792</v>
      </c>
      <c r="E93" s="1" t="n">
        <v>46296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45576</v>
      </c>
      <c r="E94" s="1" t="n">
        <v>46296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45363</v>
      </c>
      <c r="E95" s="1" t="n">
        <v>46296</v>
      </c>
      <c r="F95" t="inlineStr">
        <is>
          <t>VÄSTMANLANDS LÄN</t>
        </is>
      </c>
      <c r="G95" t="inlineStr">
        <is>
          <t>NORBERG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46296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36905-2023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45154</v>
      </c>
      <c r="E97" s="1" t="n">
        <v>46296</v>
      </c>
      <c r="F97" t="inlineStr">
        <is>
          <t>VÄSTMANLANDS LÄN</t>
        </is>
      </c>
      <c r="G97" t="inlineStr">
        <is>
          <t>NORBERG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45408</v>
      </c>
      <c r="E98" s="1" t="n">
        <v>46296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45226</v>
      </c>
      <c r="E99" s="1" t="n">
        <v>46296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45705</v>
      </c>
      <c r="E100" s="1" t="n">
        <v>46296</v>
      </c>
      <c r="F100" t="inlineStr">
        <is>
          <t>VÄSTMANLANDS LÄN</t>
        </is>
      </c>
      <c r="G100" t="inlineStr">
        <is>
          <t>NORBERG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63495-2023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46296</v>
      </c>
      <c r="F101" t="inlineStr">
        <is>
          <t>VÄSTMANLANDS LÄN</t>
        </is>
      </c>
      <c r="G101" t="inlineStr">
        <is>
          <t>NORBERG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46296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46296</v>
      </c>
      <c r="F103" t="inlineStr">
        <is>
          <t>VÄSTMANLANDS LÄN</t>
        </is>
      </c>
      <c r="G103" t="inlineStr">
        <is>
          <t>NORBERG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45200</v>
      </c>
      <c r="E104" s="1" t="n">
        <v>46296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46296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45567</v>
      </c>
      <c r="E106" s="1" t="n">
        <v>46296</v>
      </c>
      <c r="F106" t="inlineStr">
        <is>
          <t>VÄSTMANLANDS LÄN</t>
        </is>
      </c>
      <c r="G106" t="inlineStr">
        <is>
          <t>NORBERG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36443-2024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45537</v>
      </c>
      <c r="E107" s="1" t="n">
        <v>46296</v>
      </c>
      <c r="F107" t="inlineStr">
        <is>
          <t>VÄSTMANLANDS LÄN</t>
        </is>
      </c>
      <c r="G107" t="inlineStr">
        <is>
          <t>NORBERG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45200</v>
      </c>
      <c r="E108" s="1" t="n">
        <v>46296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46296</v>
      </c>
      <c r="F109" t="inlineStr">
        <is>
          <t>VÄSTMANLANDS LÄN</t>
        </is>
      </c>
      <c r="G109" t="inlineStr">
        <is>
          <t>NORBERG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46296</v>
      </c>
      <c r="F110" t="inlineStr">
        <is>
          <t>VÄSTMANLANDS LÄN</t>
        </is>
      </c>
      <c r="G110" t="inlineStr">
        <is>
          <t>NORBERG</t>
        </is>
      </c>
      <c r="H110" t="inlineStr">
        <is>
          <t>Övriga Aktiebolag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46296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46296</v>
      </c>
      <c r="F112" t="inlineStr">
        <is>
          <t>VÄSTMANLANDS LÄN</t>
        </is>
      </c>
      <c r="G112" t="inlineStr">
        <is>
          <t>NORBERG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45607</v>
      </c>
      <c r="E113" s="1" t="n">
        <v>46296</v>
      </c>
      <c r="F113" t="inlineStr">
        <is>
          <t>VÄSTMANLANDS LÄN</t>
        </is>
      </c>
      <c r="G113" t="inlineStr">
        <is>
          <t>NORBERG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45632</v>
      </c>
      <c r="E114" s="1" t="n">
        <v>46296</v>
      </c>
      <c r="F114" t="inlineStr">
        <is>
          <t>VÄSTMANLANDS LÄN</t>
        </is>
      </c>
      <c r="G114" t="inlineStr">
        <is>
          <t>NORBERG</t>
        </is>
      </c>
      <c r="H114" t="inlineStr">
        <is>
          <t>Bergvik skog väst AB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46296</v>
      </c>
      <c r="F115" t="inlineStr">
        <is>
          <t>VÄSTMANLANDS LÄN</t>
        </is>
      </c>
      <c r="G115" t="inlineStr">
        <is>
          <t>NORBERG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46296</v>
      </c>
      <c r="F116" t="inlineStr">
        <is>
          <t>VÄSTMANLANDS LÄN</t>
        </is>
      </c>
      <c r="G116" t="inlineStr">
        <is>
          <t>NORBERG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45827</v>
      </c>
      <c r="E117" s="1" t="n">
        <v>46296</v>
      </c>
      <c r="F117" t="inlineStr">
        <is>
          <t>VÄSTMANLANDS LÄN</t>
        </is>
      </c>
      <c r="G117" t="inlineStr">
        <is>
          <t>NORBERG</t>
        </is>
      </c>
      <c r="H117" t="inlineStr">
        <is>
          <t>Övriga Aktiebolag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46296</v>
      </c>
      <c r="F118" t="inlineStr">
        <is>
          <t>VÄSTMANLANDS LÄN</t>
        </is>
      </c>
      <c r="G118" t="inlineStr">
        <is>
          <t>NORBERG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45049</v>
      </c>
      <c r="E119" s="1" t="n">
        <v>46296</v>
      </c>
      <c r="F119" t="inlineStr">
        <is>
          <t>VÄSTMANLANDS LÄN</t>
        </is>
      </c>
      <c r="G119" t="inlineStr">
        <is>
          <t>NORBERG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45764</v>
      </c>
      <c r="E120" s="1" t="n">
        <v>46296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67356-2021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44523</v>
      </c>
      <c r="E121" s="1" t="n">
        <v>46296</v>
      </c>
      <c r="F121" t="inlineStr">
        <is>
          <t>VÄSTMANLANDS LÄN</t>
        </is>
      </c>
      <c r="G121" t="inlineStr">
        <is>
          <t>NORBERG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16042-2024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45405</v>
      </c>
      <c r="E122" s="1" t="n">
        <v>46296</v>
      </c>
      <c r="F122" t="inlineStr">
        <is>
          <t>VÄSTMANLANDS LÄN</t>
        </is>
      </c>
      <c r="G122" t="inlineStr">
        <is>
          <t>NORBERG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47610-2022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44852</v>
      </c>
      <c r="E123" s="1" t="n">
        <v>46296</v>
      </c>
      <c r="F123" t="inlineStr">
        <is>
          <t>VÄSTMANLANDS LÄN</t>
        </is>
      </c>
      <c r="G123" t="inlineStr">
        <is>
          <t>NORBERG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45233</v>
      </c>
      <c r="E124" s="1" t="n">
        <v>46296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44973</v>
      </c>
      <c r="E125" s="1" t="n">
        <v>46296</v>
      </c>
      <c r="F125" t="inlineStr">
        <is>
          <t>VÄSTMANLANDS LÄN</t>
        </is>
      </c>
      <c r="G125" t="inlineStr">
        <is>
          <t>NORBERG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45730</v>
      </c>
      <c r="E126" s="1" t="n">
        <v>46296</v>
      </c>
      <c r="F126" t="inlineStr">
        <is>
          <t>VÄSTMANLANDS LÄN</t>
        </is>
      </c>
      <c r="G126" t="inlineStr">
        <is>
          <t>NORBERG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45320</v>
      </c>
      <c r="E127" s="1" t="n">
        <v>46296</v>
      </c>
      <c r="F127" t="inlineStr">
        <is>
          <t>VÄSTMANLANDS LÄN</t>
        </is>
      </c>
      <c r="G127" t="inlineStr">
        <is>
          <t>NORBERG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46296</v>
      </c>
      <c r="F128" t="inlineStr">
        <is>
          <t>VÄSTMANLANDS LÄN</t>
        </is>
      </c>
      <c r="G128" t="inlineStr">
        <is>
          <t>NORBERG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45454</v>
      </c>
      <c r="E129" s="1" t="n">
        <v>46296</v>
      </c>
      <c r="F129" t="inlineStr">
        <is>
          <t>VÄSTMANLANDS LÄN</t>
        </is>
      </c>
      <c r="G129" t="inlineStr">
        <is>
          <t>NORBERG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45316</v>
      </c>
      <c r="E130" s="1" t="n">
        <v>46296</v>
      </c>
      <c r="F130" t="inlineStr">
        <is>
          <t>VÄSTMANLANDS LÄN</t>
        </is>
      </c>
      <c r="G130" t="inlineStr">
        <is>
          <t>NORBERG</t>
        </is>
      </c>
      <c r="I130" t="n">
        <v>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46296</v>
      </c>
      <c r="F131" t="inlineStr">
        <is>
          <t>VÄSTMANLANDS LÄN</t>
        </is>
      </c>
      <c r="G131" t="inlineStr">
        <is>
          <t>NORBERG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46296</v>
      </c>
      <c r="F132" t="inlineStr">
        <is>
          <t>VÄSTMANLANDS LÄN</t>
        </is>
      </c>
      <c r="G132" t="inlineStr">
        <is>
          <t>NORBERG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45882</v>
      </c>
      <c r="E133" s="1" t="n">
        <v>46296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15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45882</v>
      </c>
      <c r="E134" s="1" t="n">
        <v>46296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44884-2025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46296</v>
      </c>
      <c r="F135" t="inlineStr">
        <is>
          <t>VÄSTMANLANDS LÄN</t>
        </is>
      </c>
      <c r="G135" t="inlineStr">
        <is>
          <t>NORBERG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46296</v>
      </c>
      <c r="F136" t="inlineStr">
        <is>
          <t>VÄSTMANLANDS LÄN</t>
        </is>
      </c>
      <c r="G136" t="inlineStr">
        <is>
          <t>NORBERG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45978</v>
      </c>
      <c r="E137" s="1" t="n">
        <v>46296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46296</v>
      </c>
      <c r="F138" t="inlineStr">
        <is>
          <t>VÄSTMANLANDS LÄN</t>
        </is>
      </c>
      <c r="G138" t="inlineStr">
        <is>
          <t>NORBERG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46296</v>
      </c>
      <c r="F139" t="inlineStr">
        <is>
          <t>VÄSTMANLANDS LÄN</t>
        </is>
      </c>
      <c r="G139" t="inlineStr">
        <is>
          <t>NORBERG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46296</v>
      </c>
      <c r="F140" t="inlineStr">
        <is>
          <t>VÄSTMANLANDS LÄN</t>
        </is>
      </c>
      <c r="G140" t="inlineStr">
        <is>
          <t>NORBERG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62882-2025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46008</v>
      </c>
      <c r="E141" s="1" t="n">
        <v>46296</v>
      </c>
      <c r="F141" t="inlineStr">
        <is>
          <t>VÄSTMANLANDS LÄN</t>
        </is>
      </c>
      <c r="G141" t="inlineStr">
        <is>
          <t>NORBERG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46014</v>
      </c>
      <c r="E142" s="1" t="n">
        <v>46296</v>
      </c>
      <c r="F142" t="inlineStr">
        <is>
          <t>VÄSTMANLANDS LÄN</t>
        </is>
      </c>
      <c r="G142" t="inlineStr">
        <is>
          <t>NORBERG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46014</v>
      </c>
      <c r="E143" s="1" t="n">
        <v>46296</v>
      </c>
      <c r="F143" t="inlineStr">
        <is>
          <t>VÄSTMANLANDS LÄN</t>
        </is>
      </c>
      <c r="G143" t="inlineStr">
        <is>
          <t>NORBERG</t>
        </is>
      </c>
      <c r="I143" t="n">
        <v>22.8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63907-2025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46296</v>
      </c>
      <c r="F144" t="inlineStr">
        <is>
          <t>VÄSTMANLANDS LÄN</t>
        </is>
      </c>
      <c r="G144" t="inlineStr">
        <is>
          <t>NORBERG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46296</v>
      </c>
      <c r="F145" t="inlineStr">
        <is>
          <t>VÄSTMANLANDS LÄN</t>
        </is>
      </c>
      <c r="G145" t="inlineStr">
        <is>
          <t>NORBERG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60339-2025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45994</v>
      </c>
      <c r="E146" s="1" t="n">
        <v>46296</v>
      </c>
      <c r="F146" t="inlineStr">
        <is>
          <t>VÄSTMANLANDS LÄN</t>
        </is>
      </c>
      <c r="G146" t="inlineStr">
        <is>
          <t>NORBERG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46093</v>
      </c>
      <c r="E147" s="1" t="n">
        <v>46296</v>
      </c>
      <c r="F147" t="inlineStr">
        <is>
          <t>VÄSTMANLANDS LÄN</t>
        </is>
      </c>
      <c r="G147" t="inlineStr">
        <is>
          <t>NORBERG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46296</v>
      </c>
      <c r="F148" t="inlineStr">
        <is>
          <t>VÄSTMANLANDS LÄN</t>
        </is>
      </c>
      <c r="G148" t="inlineStr">
        <is>
          <t>NORBERG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14234-2026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46296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46105</v>
      </c>
      <c r="E150" s="1" t="n">
        <v>46296</v>
      </c>
      <c r="F150" t="inlineStr">
        <is>
          <t>VÄSTMANLANDS LÄN</t>
        </is>
      </c>
      <c r="G150" t="inlineStr">
        <is>
          <t>NORBERG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46296</v>
      </c>
      <c r="F151" t="inlineStr">
        <is>
          <t>VÄSTMANLANDS LÄN</t>
        </is>
      </c>
      <c r="G151" t="inlineStr">
        <is>
          <t>NORBERG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46296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46296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46296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46114</v>
      </c>
      <c r="E155" s="1" t="n">
        <v>46296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46113</v>
      </c>
      <c r="E156" s="1" t="n">
        <v>46296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46296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56940-2021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44480</v>
      </c>
      <c r="E158" s="1" t="n">
        <v>46296</v>
      </c>
      <c r="F158" t="inlineStr">
        <is>
          <t>VÄSTMANLANDS LÄN</t>
        </is>
      </c>
      <c r="G158" t="inlineStr">
        <is>
          <t>NORBERG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40232-2024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45554</v>
      </c>
      <c r="E159" s="1" t="n">
        <v>46296</v>
      </c>
      <c r="F159" t="inlineStr">
        <is>
          <t>VÄSTMANLANDS LÄN</t>
        </is>
      </c>
      <c r="G159" t="inlineStr">
        <is>
          <t>NORBERG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40140-2023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45169</v>
      </c>
      <c r="E160" s="1" t="n">
        <v>46296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45598</v>
      </c>
      <c r="E161" s="1" t="n">
        <v>46296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20968-2026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46142</v>
      </c>
      <c r="E162" s="1" t="n">
        <v>46296</v>
      </c>
      <c r="F162" t="inlineStr">
        <is>
          <t>VÄSTMANLANDS LÄN</t>
        </is>
      </c>
      <c r="G162" t="inlineStr">
        <is>
          <t>NORBERG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46296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12.1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46296</v>
      </c>
      <c r="F164" t="inlineStr">
        <is>
          <t>VÄSTMANLANDS LÄN</t>
        </is>
      </c>
      <c r="G164" t="inlineStr">
        <is>
          <t>NORBERG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46148</v>
      </c>
      <c r="E165" s="1" t="n">
        <v>46296</v>
      </c>
      <c r="F165" t="inlineStr">
        <is>
          <t>VÄSTMANLANDS LÄN</t>
        </is>
      </c>
      <c r="G165" t="inlineStr">
        <is>
          <t>NORBERG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46296</v>
      </c>
      <c r="F166" t="inlineStr">
        <is>
          <t>VÄSTMANLANDS LÄN</t>
        </is>
      </c>
      <c r="G166" t="inlineStr">
        <is>
          <t>NORBERG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46296</v>
      </c>
      <c r="F167" t="inlineStr">
        <is>
          <t>VÄSTMANLANDS LÄN</t>
        </is>
      </c>
      <c r="G167" t="inlineStr">
        <is>
          <t>NORBERG</t>
        </is>
      </c>
      <c r="H167" t="inlineStr">
        <is>
          <t>Bergvik skog väst AB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56400-2025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45974</v>
      </c>
      <c r="E168" s="1" t="n">
        <v>46296</v>
      </c>
      <c r="F168" t="inlineStr">
        <is>
          <t>VÄSTMANLANDS LÄN</t>
        </is>
      </c>
      <c r="G168" t="inlineStr">
        <is>
          <t>NORBERG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46176</v>
      </c>
      <c r="E169" s="1" t="n">
        <v>46296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46296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46296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46190</v>
      </c>
      <c r="E172" s="1" t="n">
        <v>46296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46296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34832-2026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46258</v>
      </c>
      <c r="E174" s="1" t="n">
        <v>46296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35731-2026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46296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46296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31483-2026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46296</v>
      </c>
      <c r="F177" t="inlineStr">
        <is>
          <t>VÄSTMANLANDS LÄN</t>
        </is>
      </c>
      <c r="G177" t="inlineStr">
        <is>
          <t>NORBERG</t>
        </is>
      </c>
      <c r="I177" t="n">
        <v>9.800000000000001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46296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46268</v>
      </c>
      <c r="E179" s="1" t="n">
        <v>46296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28607-2026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46296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46296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46232</v>
      </c>
      <c r="E182" s="1" t="n">
        <v>46296</v>
      </c>
      <c r="F182" t="inlineStr">
        <is>
          <t>VÄSTMANLANDS LÄN</t>
        </is>
      </c>
      <c r="G182" t="inlineStr">
        <is>
          <t>NORBERG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31967-2026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46232</v>
      </c>
      <c r="E183" s="1" t="n">
        <v>46296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46233</v>
      </c>
      <c r="E184" s="1" t="n">
        <v>46296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32385-2026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46238</v>
      </c>
      <c r="E185" s="1" t="n">
        <v>46296</v>
      </c>
      <c r="F185" t="inlineStr">
        <is>
          <t>VÄSTMANLANDS LÄN</t>
        </is>
      </c>
      <c r="G185" t="inlineStr">
        <is>
          <t>NORBERG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46296</v>
      </c>
      <c r="F186" t="inlineStr">
        <is>
          <t>VÄSTMANLANDS LÄN</t>
        </is>
      </c>
      <c r="G186" t="inlineStr">
        <is>
          <t>NORBERG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46296</v>
      </c>
      <c r="F187" t="inlineStr">
        <is>
          <t>VÄSTMANLANDS LÄN</t>
        </is>
      </c>
      <c r="G187" t="inlineStr">
        <is>
          <t>NORBERG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46296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46247</v>
      </c>
      <c r="E189" s="1" t="n">
        <v>46296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7.6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46296</v>
      </c>
      <c r="F190" t="inlineStr">
        <is>
          <t>VÄSTMANLANDS LÄN</t>
        </is>
      </c>
      <c r="G190" t="inlineStr">
        <is>
          <t>NORBERG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46296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46296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46296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2026-10-01T01:59:38Z</dcterms:created>
  <dcterms:modified xmlns:dcterms="http://purl.org/dc/terms/" xmlns:xsi="http://www.w3.org/2001/XMLSchema-instance" xsi:type="dcterms:W3CDTF">2026-10-01T01:59:38Z</dcterms:modified>
</cp:coreProperties>
</file>