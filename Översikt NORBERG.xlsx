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46232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46232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t="n">
        <v>0</v>
      </c>
      <c r="V3" s="2" t="inlineStr">
        <is>
          <t>Kryddspindling
Orange taggsvamp
Zontaggsvamp</t>
        </is>
      </c>
      <c r="W3">
        <f>HYPERLINK("https://klasma.github.io/Logging_1962/artfynd/A 62471-2023 artfynd.xlsx", "A 62471-2023")</f>
        <v/>
      </c>
      <c r="X3">
        <f>HYPERLINK("https://klasma.github.io/Logging_1962/kartor/A 62471-2023 karta.png", "A 62471-2023")</f>
        <v/>
      </c>
      <c r="Y3">
        <f>HYPERLINK("https://klasma.github.io/Logging_1962/kartor_geotiff/A 62471-2023 georefererad karta.tif", "A 62471-2023")</f>
        <v/>
      </c>
      <c r="AA3">
        <f>HYPERLINK("https://klasma.github.io/Logging_1962/klagomål/A 62471-2023 FSC-klagomål.docx", "A 62471-2023")</f>
        <v/>
      </c>
      <c r="AB3">
        <f>HYPERLINK("https://klasma.github.io/Logging_1962/klagomålsmail/A 62471-2023 FSC-klagomål mail.docx", "A 62471-2023")</f>
        <v/>
      </c>
      <c r="AC3">
        <f>HYPERLINK("https://klasma.github.io/Logging_1962/tillsyn/A 62471-2023 tillsynsbegäran.docx", "A 62471-2023")</f>
        <v/>
      </c>
      <c r="AD3">
        <f>HYPERLINK("https://klasma.github.io/Logging_1962/tillsynsmail/A 62471-2023 tillsynsbegäran mail.docx", "A 62471-2023")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46232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46232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0</v>
      </c>
      <c r="V5" s="2" t="inlineStr">
        <is>
          <t>Brunklöver
Tvåblad</t>
        </is>
      </c>
      <c r="W5">
        <f>HYPERLINK("https://klasma.github.io/Logging_1962/artfynd/A 15262-2026 artfynd.xlsx", "A 15262-2026")</f>
        <v/>
      </c>
      <c r="X5">
        <f>HYPERLINK("https://klasma.github.io/Logging_1962/kartor/A 15262-2026 karta.png", "A 15262-2026")</f>
        <v/>
      </c>
      <c r="Y5">
        <f>HYPERLINK("https://klasma.github.io/Logging_1962/kartor_geotiff/A 15262-2026 georefererad karta.tif", "A 15262-2026")</f>
        <v/>
      </c>
      <c r="AA5">
        <f>HYPERLINK("https://klasma.github.io/Logging_1962/klagomål/A 15262-2026 FSC-klagomål.docx", "A 15262-2026")</f>
        <v/>
      </c>
      <c r="AB5">
        <f>HYPERLINK("https://klasma.github.io/Logging_1962/klagomålsmail/A 15262-2026 FSC-klagomål mail.docx", "A 15262-2026")</f>
        <v/>
      </c>
      <c r="AC5">
        <f>HYPERLINK("https://klasma.github.io/Logging_1962/tillsyn/A 15262-2026 tillsynsbegäran.docx", "A 15262-2026")</f>
        <v/>
      </c>
      <c r="AD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45622</v>
      </c>
      <c r="E6" s="1" t="n">
        <v>46232</v>
      </c>
      <c r="F6" t="inlineStr">
        <is>
          <t>VÄSTMANLANDS LÄN</t>
        </is>
      </c>
      <c r="G6" t="inlineStr">
        <is>
          <t>NORBERG</t>
        </is>
      </c>
      <c r="I6" t="n">
        <v>2.5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Persiljespindling
Skogsknipprot</t>
        </is>
      </c>
      <c r="W6">
        <f>HYPERLINK("https://klasma.github.io/Logging_1962/artfynd/A 55711-2024 artfynd.xlsx", "A 55711-2024")</f>
        <v/>
      </c>
      <c r="X6">
        <f>HYPERLINK("https://klasma.github.io/Logging_1962/kartor/A 55711-2024 karta.png", "A 55711-2024")</f>
        <v/>
      </c>
      <c r="Y6">
        <f>HYPERLINK("https://klasma.github.io/Logging_1962/kartor_geotiff/A 55711-2024 georefererad karta.tif", "A 55711-2024")</f>
        <v/>
      </c>
      <c r="AA6">
        <f>HYPERLINK("https://klasma.github.io/Logging_1962/klagomål/A 55711-2024 FSC-klagomål.docx", "A 55711-2024")</f>
        <v/>
      </c>
      <c r="AB6">
        <f>HYPERLINK("https://klasma.github.io/Logging_1962/klagomålsmail/A 55711-2024 FSC-klagomål mail.docx", "A 55711-2024")</f>
        <v/>
      </c>
      <c r="AC6">
        <f>HYPERLINK("https://klasma.github.io/Logging_1962/tillsyn/A 55711-2024 tillsynsbegäran.docx", "A 55711-2024")</f>
        <v/>
      </c>
      <c r="AD6">
        <f>HYPERLINK("https://klasma.github.io/Logging_1962/tillsynsmail/A 55711-2024 tillsynsbegäran mail.docx", "A 55711-2024")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46232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9872-2022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44620</v>
      </c>
      <c r="E8" s="1" t="n">
        <v>46232</v>
      </c>
      <c r="F8" t="inlineStr">
        <is>
          <t>VÄSTMANLANDS LÄN</t>
        </is>
      </c>
      <c r="G8" t="inlineStr">
        <is>
          <t>NORBERG</t>
        </is>
      </c>
      <c r="I8" t="n">
        <v>0.7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HYPERLINK("https://klasma.github.io/Logging_1962/artfynd/A 9872-2022 artfynd.xlsx", "A 9872-2022")</f>
        <v/>
      </c>
      <c r="X8">
        <f>HYPERLINK("https://klasma.github.io/Logging_1962/kartor/A 9872-2022 karta.png", "A 9872-2022")</f>
        <v/>
      </c>
      <c r="Y8">
        <f>HYPERLINK("https://klasma.github.io/Logging_1962/kartor_geotiff/A 9872-2022 georefererad karta.tif", "A 9872-2022")</f>
        <v/>
      </c>
      <c r="AA8">
        <f>HYPERLINK("https://klasma.github.io/Logging_1962/klagomål/A 9872-2022 FSC-klagomål.docx", "A 9872-2022")</f>
        <v/>
      </c>
      <c r="AB8">
        <f>HYPERLINK("https://klasma.github.io/Logging_1962/klagomålsmail/A 9872-2022 FSC-klagomål mail.docx", "A 9872-2022")</f>
        <v/>
      </c>
      <c r="AC8">
        <f>HYPERLINK("https://klasma.github.io/Logging_1962/tillsyn/A 9872-2022 tillsynsbegäran.docx", "A 9872-2022")</f>
        <v/>
      </c>
      <c r="AD8">
        <f>HYPERLINK("https://klasma.github.io/Logging_1962/tillsynsmail/A 9872-2022 tillsynsbegäran mail.docx", "A 9872-2022")</f>
        <v/>
      </c>
    </row>
    <row r="9" ht="15" customHeight="1">
      <c r="A9" t="inlineStr">
        <is>
          <t>A 56936-2021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44480</v>
      </c>
      <c r="E9" s="1" t="n">
        <v>46232</v>
      </c>
      <c r="F9" t="inlineStr">
        <is>
          <t>VÄSTMANLANDS LÄN</t>
        </is>
      </c>
      <c r="G9" t="inlineStr">
        <is>
          <t>NORBERG</t>
        </is>
      </c>
      <c r="I9" t="n">
        <v>2.4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HYPERLINK("https://klasma.github.io/Logging_1962/artfynd/A 56936-2021 artfynd.xlsx", "A 56936-2021")</f>
        <v/>
      </c>
      <c r="X9">
        <f>HYPERLINK("https://klasma.github.io/Logging_1962/kartor/A 56936-2021 karta.png", "A 56936-2021")</f>
        <v/>
      </c>
      <c r="Y9">
        <f>HYPERLINK("https://klasma.github.io/Logging_1962/kartor_geotiff/A 56936-2021 georefererad karta.tif", "A 56936-2021")</f>
        <v/>
      </c>
      <c r="AA9">
        <f>HYPERLINK("https://klasma.github.io/Logging_1962/klagomål/A 56936-2021 FSC-klagomål.docx", "A 56936-2021")</f>
        <v/>
      </c>
      <c r="AB9">
        <f>HYPERLINK("https://klasma.github.io/Logging_1962/klagomålsmail/A 56936-2021 FSC-klagomål mail.docx", "A 56936-2021")</f>
        <v/>
      </c>
      <c r="AC9">
        <f>HYPERLINK("https://klasma.github.io/Logging_1962/tillsyn/A 56936-2021 tillsynsbegäran.docx", "A 56936-2021")</f>
        <v/>
      </c>
      <c r="AD9">
        <f>HYPERLINK("https://klasma.github.io/Logging_1962/tillsynsmail/A 56936-2021 tillsynsbegäran mail.docx", "A 56936-2021")</f>
        <v/>
      </c>
    </row>
    <row r="10" ht="15" customHeight="1">
      <c r="A10" t="inlineStr">
        <is>
          <t>A 20257-2025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45773</v>
      </c>
      <c r="E10" s="1" t="n">
        <v>46232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1.5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Plattlummer</t>
        </is>
      </c>
      <c r="W10">
        <f>HYPERLINK("https://klasma.github.io/Logging_1962/artfynd/A 20257-2025 artfynd.xlsx", "A 20257-2025")</f>
        <v/>
      </c>
      <c r="X10">
        <f>HYPERLINK("https://klasma.github.io/Logging_1962/kartor/A 20257-2025 karta.png", "A 20257-2025")</f>
        <v/>
      </c>
      <c r="Y10">
        <f>HYPERLINK("https://klasma.github.io/Logging_1962/kartor_geotiff/A 20257-2025 georefererad karta.tif", "A 20257-2025")</f>
        <v/>
      </c>
      <c r="AA10">
        <f>HYPERLINK("https://klasma.github.io/Logging_1962/klagomål/A 20257-2025 FSC-klagomål.docx", "A 20257-2025")</f>
        <v/>
      </c>
      <c r="AB10">
        <f>HYPERLINK("https://klasma.github.io/Logging_1962/klagomålsmail/A 20257-2025 FSC-klagomål mail.docx", "A 20257-2025")</f>
        <v/>
      </c>
      <c r="AC10">
        <f>HYPERLINK("https://klasma.github.io/Logging_1962/tillsyn/A 20257-2025 tillsynsbegäran.docx", "A 20257-2025")</f>
        <v/>
      </c>
      <c r="AD10">
        <f>HYPERLINK("https://klasma.github.io/Logging_1962/tillsynsmail/A 20257-2025 tillsynsbegäran mail.docx", "A 20257-2025")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46232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46232</v>
      </c>
      <c r="F12" t="inlineStr">
        <is>
          <t>VÄSTMANLANDS LÄN</t>
        </is>
      </c>
      <c r="G12" t="inlineStr">
        <is>
          <t>NORBERG</t>
        </is>
      </c>
      <c r="I12" t="n">
        <v>0.4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61099-2024 artfynd.xlsx", "A 61099-2024")</f>
        <v/>
      </c>
      <c r="X12">
        <f>HYPERLINK("https://klasma.github.io/Logging_1962/kartor/A 61099-2024 karta.png", "A 61099-2024")</f>
        <v/>
      </c>
      <c r="Y12">
        <f>HYPERLINK("https://klasma.github.io/Logging_1962/kartor_geotiff/A 61099-2024 georefererad karta.tif", "A 61099-2024")</f>
        <v/>
      </c>
      <c r="AA12">
        <f>HYPERLINK("https://klasma.github.io/Logging_1962/klagomål/A 61099-2024 FSC-klagomål.docx", "A 61099-2024")</f>
        <v/>
      </c>
      <c r="AB12">
        <f>HYPERLINK("https://klasma.github.io/Logging_1962/klagomålsmail/A 61099-2024 FSC-klagomål mail.docx", "A 61099-2024")</f>
        <v/>
      </c>
      <c r="AC12">
        <f>HYPERLINK("https://klasma.github.io/Logging_1962/tillsyn/A 61099-2024 tillsynsbegäran.docx", "A 61099-2024")</f>
        <v/>
      </c>
      <c r="AD12">
        <f>HYPERLINK("https://klasma.github.io/Logging_1962/tillsynsmail/A 61099-2024 tillsynsbegäran mail.docx", "A 61099-2024")</f>
        <v/>
      </c>
    </row>
    <row r="13" ht="15" customHeight="1">
      <c r="A13" t="inlineStr">
        <is>
          <t>A 38017-2025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45882</v>
      </c>
      <c r="E13" s="1" t="n">
        <v>46232</v>
      </c>
      <c r="F13" t="inlineStr">
        <is>
          <t>VÄSTMANLANDS LÄN</t>
        </is>
      </c>
      <c r="G13" t="inlineStr">
        <is>
          <t>NORBERG</t>
        </is>
      </c>
      <c r="H13" t="inlineStr">
        <is>
          <t>Övriga Aktiebolag</t>
        </is>
      </c>
      <c r="I13" t="n">
        <v>15.5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HYPERLINK("https://klasma.github.io/Logging_1962/artfynd/A 38017-2025 artfynd.xlsx", "A 38017-2025")</f>
        <v/>
      </c>
      <c r="X13">
        <f>HYPERLINK("https://klasma.github.io/Logging_1962/kartor/A 38017-2025 karta.png", "A 38017-2025")</f>
        <v/>
      </c>
      <c r="Y13">
        <f>HYPERLINK("https://klasma.github.io/Logging_1962/kartor_geotiff/A 38017-2025 georefererad karta.tif", "A 38017-2025")</f>
        <v/>
      </c>
      <c r="AA13">
        <f>HYPERLINK("https://klasma.github.io/Logging_1962/klagomål/A 38017-2025 FSC-klagomål.docx", "A 38017-2025")</f>
        <v/>
      </c>
      <c r="AB13">
        <f>HYPERLINK("https://klasma.github.io/Logging_1962/klagomålsmail/A 38017-2025 FSC-klagomål mail.docx", "A 38017-2025")</f>
        <v/>
      </c>
      <c r="AC13">
        <f>HYPERLINK("https://klasma.github.io/Logging_1962/tillsyn/A 38017-2025 tillsynsbegäran.docx", "A 38017-2025")</f>
        <v/>
      </c>
      <c r="AD13">
        <f>HYPERLINK("https://klasma.github.io/Logging_1962/tillsynsmail/A 38017-2025 tillsynsbegäran mail.docx", "A 38017-2025")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46232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18464-2025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46232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Skogsknipprot</t>
        </is>
      </c>
      <c r="W15">
        <f>HYPERLINK("https://klasma.github.io/Logging_1962/artfynd/A 18464-2025 artfynd.xlsx", "A 18464-2025")</f>
        <v/>
      </c>
      <c r="X15">
        <f>HYPERLINK("https://klasma.github.io/Logging_1962/kartor/A 18464-2025 karta.png", "A 18464-2025")</f>
        <v/>
      </c>
      <c r="Y15">
        <f>HYPERLINK("https://klasma.github.io/Logging_1962/kartor_geotiff/A 18464-2025 georefererad karta.tif", "A 18464-2025")</f>
        <v/>
      </c>
      <c r="AA15">
        <f>HYPERLINK("https://klasma.github.io/Logging_1962/klagomål/A 18464-2025 FSC-klagomål.docx", "A 18464-2025")</f>
        <v/>
      </c>
      <c r="AB15">
        <f>HYPERLINK("https://klasma.github.io/Logging_1962/klagomålsmail/A 18464-2025 FSC-klagomål mail.docx", "A 18464-2025")</f>
        <v/>
      </c>
      <c r="AC15">
        <f>HYPERLINK("https://klasma.github.io/Logging_1962/tillsyn/A 18464-2025 tillsynsbegäran.docx", "A 18464-2025")</f>
        <v/>
      </c>
      <c r="AD15">
        <f>HYPERLINK("https://klasma.github.io/Logging_1962/tillsynsmail/A 18464-2025 tillsynsbegäran mail.docx", "A 18464-2025")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46232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46232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S 4857-2024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45608</v>
      </c>
      <c r="E18" s="1" t="n">
        <v>46232</v>
      </c>
      <c r="F18" t="inlineStr">
        <is>
          <t>VÄSTMANLANDS LÄN</t>
        </is>
      </c>
      <c r="G18" t="inlineStr">
        <is>
          <t>NORBERG</t>
        </is>
      </c>
      <c r="I18" t="n">
        <v>79.3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Nordfladdermus</t>
        </is>
      </c>
      <c r="W18">
        <f>HYPERLINK("https://klasma.github.io/Logging_1962/artfynd/S 4857-2024 artfynd.xlsx", "S 4857-2024")</f>
        <v/>
      </c>
      <c r="X18">
        <f>HYPERLINK("https://klasma.github.io/Logging_1962/kartor/S 4857-2024 karta.png", "S 4857-2024")</f>
        <v/>
      </c>
      <c r="Y18">
        <f>HYPERLINK("https://klasma.github.io/Logging_1962/kartor_geotiff/S 4857-2024 georefererad karta.tif", "S 4857-2024")</f>
        <v/>
      </c>
      <c r="AA18">
        <f>HYPERLINK("https://klasma.github.io/Logging_1962/klagomål/S 4857-2024 FSC-klagomål.docx", "S 4857-2024")</f>
        <v/>
      </c>
      <c r="AB18">
        <f>HYPERLINK("https://klasma.github.io/Logging_1962/klagomålsmail/S 4857-2024 FSC-klagomål mail.docx", "S 4857-2024")</f>
        <v/>
      </c>
      <c r="AC18">
        <f>HYPERLINK("https://klasma.github.io/Logging_1962/tillsyn/S 4857-2024 tillsynsbegäran.docx", "S 4857-2024")</f>
        <v/>
      </c>
      <c r="AD18">
        <f>HYPERLINK("https://klasma.github.io/Logging_1962/tillsynsmail/S 4857-2024 tillsynsbegäran mail.docx", "S 4857-2024")</f>
        <v/>
      </c>
    </row>
    <row r="19" ht="15" customHeight="1">
      <c r="A19" t="inlineStr">
        <is>
          <t>S 920-2025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45737</v>
      </c>
      <c r="E19" s="1" t="n">
        <v>46232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2.7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Lopplummer (aggregat)</t>
        </is>
      </c>
      <c r="W19">
        <f>HYPERLINK("https://klasma.github.io/Logging_1962/artfynd/S 920-2025 artfynd.xlsx", "S 920-2025")</f>
        <v/>
      </c>
      <c r="X19">
        <f>HYPERLINK("https://klasma.github.io/Logging_1962/kartor/S 920-2025 karta.png", "S 920-2025")</f>
        <v/>
      </c>
      <c r="Y19">
        <f>HYPERLINK("https://klasma.github.io/Logging_1962/kartor_geotiff/S 920-2025 georefererad karta.tif", "S 920-2025")</f>
        <v/>
      </c>
      <c r="AA19">
        <f>HYPERLINK("https://klasma.github.io/Logging_1962/klagomål/S 920-2025 FSC-klagomål.docx", "S 920-2025")</f>
        <v/>
      </c>
      <c r="AB19">
        <f>HYPERLINK("https://klasma.github.io/Logging_1962/klagomålsmail/S 920-2025 FSC-klagomål mail.docx", "S 920-2025")</f>
        <v/>
      </c>
      <c r="AC19">
        <f>HYPERLINK("https://klasma.github.io/Logging_1962/tillsyn/S 920-2025 tillsynsbegäran.docx", "S 920-2025")</f>
        <v/>
      </c>
      <c r="AD19">
        <f>HYPERLINK("https://klasma.github.io/Logging_1962/tillsynsmail/S 920-2025 tillsynsbegäran mail.docx", "S 920-2025")</f>
        <v/>
      </c>
    </row>
    <row r="20" ht="15" customHeight="1">
      <c r="A20" t="inlineStr">
        <is>
          <t>A 45929-2021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44441</v>
      </c>
      <c r="E20" s="1" t="n">
        <v>46232</v>
      </c>
      <c r="F20" t="inlineStr">
        <is>
          <t>VÄSTMANLANDS LÄN</t>
        </is>
      </c>
      <c r="G20" t="inlineStr">
        <is>
          <t>NORBERG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51415-2022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46232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8.300000000000001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49143-2022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46232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46232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44016-2022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44838</v>
      </c>
      <c r="E24" s="1" t="n">
        <v>46232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52076-2022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44873</v>
      </c>
      <c r="E25" s="1" t="n">
        <v>46232</v>
      </c>
      <c r="F25" t="inlineStr">
        <is>
          <t>VÄSTMANLANDS LÄN</t>
        </is>
      </c>
      <c r="G25" t="inlineStr">
        <is>
          <t>NORBERG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48544-2021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46232</v>
      </c>
      <c r="F26" t="inlineStr">
        <is>
          <t>VÄSTMANLANDS LÄN</t>
        </is>
      </c>
      <c r="G26" t="inlineStr">
        <is>
          <t>NORBERG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46232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46232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45213-2022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44844</v>
      </c>
      <c r="E29" s="1" t="n">
        <v>46232</v>
      </c>
      <c r="F29" t="inlineStr">
        <is>
          <t>VÄSTMANLANDS LÄN</t>
        </is>
      </c>
      <c r="G29" t="inlineStr">
        <is>
          <t>NORBERG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46232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46232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46232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46232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46232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46232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46232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46232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46232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44635</v>
      </c>
      <c r="E39" s="1" t="n">
        <v>46232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44578</v>
      </c>
      <c r="E40" s="1" t="n">
        <v>46232</v>
      </c>
      <c r="F40" t="inlineStr">
        <is>
          <t>VÄSTMANLANDS LÄN</t>
        </is>
      </c>
      <c r="G40" t="inlineStr">
        <is>
          <t>NORBERG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67361-2021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44523</v>
      </c>
      <c r="E41" s="1" t="n">
        <v>46232</v>
      </c>
      <c r="F41" t="inlineStr">
        <is>
          <t>VÄSTMANLANDS LÄN</t>
        </is>
      </c>
      <c r="G41" t="inlineStr">
        <is>
          <t>NORBERG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44687</v>
      </c>
      <c r="E42" s="1" t="n">
        <v>46232</v>
      </c>
      <c r="F42" t="inlineStr">
        <is>
          <t>VÄSTMANLANDS LÄN</t>
        </is>
      </c>
      <c r="G42" t="inlineStr">
        <is>
          <t>NORBERG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46232</v>
      </c>
      <c r="F43" t="inlineStr">
        <is>
          <t>VÄSTMANLANDS LÄN</t>
        </is>
      </c>
      <c r="G43" t="inlineStr">
        <is>
          <t>NORBERG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46232</v>
      </c>
      <c r="F44" t="inlineStr">
        <is>
          <t>VÄSTMANLANDS LÄN</t>
        </is>
      </c>
      <c r="G44" t="inlineStr">
        <is>
          <t>NORBERG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51778-2024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45607</v>
      </c>
      <c r="E45" s="1" t="n">
        <v>46232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73797-2021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44552</v>
      </c>
      <c r="E46" s="1" t="n">
        <v>46232</v>
      </c>
      <c r="F46" t="inlineStr">
        <is>
          <t>VÄSTMANLANDS LÄN</t>
        </is>
      </c>
      <c r="G46" t="inlineStr">
        <is>
          <t>NORBERG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37200-2023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46232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45420</v>
      </c>
      <c r="E48" s="1" t="n">
        <v>46232</v>
      </c>
      <c r="F48" t="inlineStr">
        <is>
          <t>VÄSTMANLANDS LÄN</t>
        </is>
      </c>
      <c r="G48" t="inlineStr">
        <is>
          <t>NORBERG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9907-2024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45363</v>
      </c>
      <c r="E49" s="1" t="n">
        <v>46232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46045-2023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45196</v>
      </c>
      <c r="E50" s="1" t="n">
        <v>46232</v>
      </c>
      <c r="F50" t="inlineStr">
        <is>
          <t>VÄSTMANLANDS LÄN</t>
        </is>
      </c>
      <c r="G50" t="inlineStr">
        <is>
          <t>NORBERG</t>
        </is>
      </c>
      <c r="H50" t="inlineStr">
        <is>
          <t>Bergvik skog väst AB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53030-2023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46232</v>
      </c>
      <c r="F51" t="inlineStr">
        <is>
          <t>VÄSTMANLANDS LÄN</t>
        </is>
      </c>
      <c r="G51" t="inlineStr">
        <is>
          <t>NORBERG</t>
        </is>
      </c>
      <c r="H51" t="inlineStr">
        <is>
          <t>Sveaskog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46232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45200</v>
      </c>
      <c r="E53" s="1" t="n">
        <v>46232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45567</v>
      </c>
      <c r="E54" s="1" t="n">
        <v>46232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45705</v>
      </c>
      <c r="E55" s="1" t="n">
        <v>46232</v>
      </c>
      <c r="F55" t="inlineStr">
        <is>
          <t>VÄSTMANLANDS LÄN</t>
        </is>
      </c>
      <c r="G55" t="inlineStr">
        <is>
          <t>NORBERG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45274</v>
      </c>
      <c r="E56" s="1" t="n">
        <v>46232</v>
      </c>
      <c r="F56" t="inlineStr">
        <is>
          <t>VÄSTMANLANDS LÄN</t>
        </is>
      </c>
      <c r="G56" t="inlineStr">
        <is>
          <t>NORBERG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12526-2025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45730</v>
      </c>
      <c r="E57" s="1" t="n">
        <v>46232</v>
      </c>
      <c r="F57" t="inlineStr">
        <is>
          <t>VÄSTMANLANDS LÄN</t>
        </is>
      </c>
      <c r="G57" t="inlineStr">
        <is>
          <t>NORBERG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45825</v>
      </c>
      <c r="E58" s="1" t="n">
        <v>46232</v>
      </c>
      <c r="F58" t="inlineStr">
        <is>
          <t>VÄSTMANLANDS LÄN</t>
        </is>
      </c>
      <c r="G58" t="inlineStr">
        <is>
          <t>NORBERG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30211-2025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46232</v>
      </c>
      <c r="F59" t="inlineStr">
        <is>
          <t>VÄSTMANLANDS LÄN</t>
        </is>
      </c>
      <c r="G59" t="inlineStr">
        <is>
          <t>NORBERG</t>
        </is>
      </c>
      <c r="H59" t="inlineStr">
        <is>
          <t>Övriga Aktiebolag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46045</v>
      </c>
      <c r="E60" s="1" t="n">
        <v>46232</v>
      </c>
      <c r="F60" t="inlineStr">
        <is>
          <t>VÄSTMANLANDS LÄN</t>
        </is>
      </c>
      <c r="G60" t="inlineStr">
        <is>
          <t>NORBERG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45316</v>
      </c>
      <c r="E61" s="1" t="n">
        <v>46232</v>
      </c>
      <c r="F61" t="inlineStr">
        <is>
          <t>VÄSTMANLANDS LÄN</t>
        </is>
      </c>
      <c r="G61" t="inlineStr">
        <is>
          <t>NORBERG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46232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63505-2023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45274</v>
      </c>
      <c r="E63" s="1" t="n">
        <v>46232</v>
      </c>
      <c r="F63" t="inlineStr">
        <is>
          <t>VÄSTMANLANDS LÄN</t>
        </is>
      </c>
      <c r="G63" t="inlineStr">
        <is>
          <t>NORBERG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45179</v>
      </c>
      <c r="E64" s="1" t="n">
        <v>46232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47029-2024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45586</v>
      </c>
      <c r="E65" s="1" t="n">
        <v>46232</v>
      </c>
      <c r="F65" t="inlineStr">
        <is>
          <t>VÄSTMANLANDS LÄN</t>
        </is>
      </c>
      <c r="G65" t="inlineStr">
        <is>
          <t>NORBERG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44691</v>
      </c>
      <c r="E66" s="1" t="n">
        <v>46232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45001</v>
      </c>
      <c r="E67" s="1" t="n">
        <v>46232</v>
      </c>
      <c r="F67" t="inlineStr">
        <is>
          <t>VÄSTMANLANDS LÄN</t>
        </is>
      </c>
      <c r="G67" t="inlineStr">
        <is>
          <t>NORBERG</t>
        </is>
      </c>
      <c r="I67" t="n">
        <v>22.4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46232</v>
      </c>
      <c r="F68" t="inlineStr">
        <is>
          <t>VÄSTMANLANDS LÄN</t>
        </is>
      </c>
      <c r="G68" t="inlineStr">
        <is>
          <t>NORBERG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46232</v>
      </c>
      <c r="F69" t="inlineStr">
        <is>
          <t>VÄSTMANLANDS LÄN</t>
        </is>
      </c>
      <c r="G69" t="inlineStr">
        <is>
          <t>NORBERG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46232</v>
      </c>
      <c r="F70" t="inlineStr">
        <is>
          <t>VÄSTMANLANDS LÄN</t>
        </is>
      </c>
      <c r="G70" t="inlineStr">
        <is>
          <t>NORBERG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12110-2025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45729</v>
      </c>
      <c r="E71" s="1" t="n">
        <v>46232</v>
      </c>
      <c r="F71" t="inlineStr">
        <is>
          <t>VÄSTMANLANDS LÄN</t>
        </is>
      </c>
      <c r="G71" t="inlineStr">
        <is>
          <t>NORBERG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45882</v>
      </c>
      <c r="E72" s="1" t="n">
        <v>46232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15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45882</v>
      </c>
      <c r="E73" s="1" t="n">
        <v>46232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45405</v>
      </c>
      <c r="E74" s="1" t="n">
        <v>46232</v>
      </c>
      <c r="F74" t="inlineStr">
        <is>
          <t>VÄSTMANLANDS LÄN</t>
        </is>
      </c>
      <c r="G74" t="inlineStr">
        <is>
          <t>NORBERG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19173-2025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45769</v>
      </c>
      <c r="E75" s="1" t="n">
        <v>46232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50124-2022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46232</v>
      </c>
      <c r="F76" t="inlineStr">
        <is>
          <t>VÄSTMANLANDS LÄN</t>
        </is>
      </c>
      <c r="G76" t="inlineStr">
        <is>
          <t>NORBERG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60339-2025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45994</v>
      </c>
      <c r="E77" s="1" t="n">
        <v>46232</v>
      </c>
      <c r="F77" t="inlineStr">
        <is>
          <t>VÄSTMANLANDS LÄN</t>
        </is>
      </c>
      <c r="G77" t="inlineStr">
        <is>
          <t>NORBERG</t>
        </is>
      </c>
      <c r="H77" t="inlineStr">
        <is>
          <t>Kommuner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45966</v>
      </c>
      <c r="E78" s="1" t="n">
        <v>46232</v>
      </c>
      <c r="F78" t="inlineStr">
        <is>
          <t>VÄSTMANLANDS LÄN</t>
        </is>
      </c>
      <c r="G78" t="inlineStr">
        <is>
          <t>NORBERG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54306-2023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45232</v>
      </c>
      <c r="E79" s="1" t="n">
        <v>46232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46232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45679</v>
      </c>
      <c r="E81" s="1" t="n">
        <v>46232</v>
      </c>
      <c r="F81" t="inlineStr">
        <is>
          <t>VÄSTMANLANDS LÄN</t>
        </is>
      </c>
      <c r="G81" t="inlineStr">
        <is>
          <t>NORBERG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57993-2024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45631</v>
      </c>
      <c r="E82" s="1" t="n">
        <v>46232</v>
      </c>
      <c r="F82" t="inlineStr">
        <is>
          <t>VÄSTMANLANDS LÄN</t>
        </is>
      </c>
      <c r="G82" t="inlineStr">
        <is>
          <t>NORBERG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46232</v>
      </c>
      <c r="F83" t="inlineStr">
        <is>
          <t>VÄSTMANLANDS LÄN</t>
        </is>
      </c>
      <c r="G83" t="inlineStr">
        <is>
          <t>NORBERG</t>
        </is>
      </c>
      <c r="I83" t="n">
        <v>8.300000000000001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46232</v>
      </c>
      <c r="F84" t="inlineStr">
        <is>
          <t>VÄSTMANLANDS LÄN</t>
        </is>
      </c>
      <c r="G84" t="inlineStr">
        <is>
          <t>NORBERG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45205</v>
      </c>
      <c r="E85" s="1" t="n">
        <v>46232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54143-2025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45964</v>
      </c>
      <c r="E86" s="1" t="n">
        <v>46232</v>
      </c>
      <c r="F86" t="inlineStr">
        <is>
          <t>VÄSTMANLANDS LÄN</t>
        </is>
      </c>
      <c r="G86" t="inlineStr">
        <is>
          <t>NORBERG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45066-2023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46232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13471-2026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46232</v>
      </c>
      <c r="F88" t="inlineStr">
        <is>
          <t>VÄSTMANLANDS LÄN</t>
        </is>
      </c>
      <c r="G88" t="inlineStr">
        <is>
          <t>NORBERG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46006</v>
      </c>
      <c r="E89" s="1" t="n">
        <v>46232</v>
      </c>
      <c r="F89" t="inlineStr">
        <is>
          <t>VÄSTMANLANDS LÄN</t>
        </is>
      </c>
      <c r="G89" t="inlineStr">
        <is>
          <t>NORBERG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46232</v>
      </c>
      <c r="F90" t="inlineStr">
        <is>
          <t>VÄSTMANLANDS LÄN</t>
        </is>
      </c>
      <c r="G90" t="inlineStr">
        <is>
          <t>NORBERG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62882-2025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46232</v>
      </c>
      <c r="F91" t="inlineStr">
        <is>
          <t>VÄSTMANLANDS LÄN</t>
        </is>
      </c>
      <c r="G91" t="inlineStr">
        <is>
          <t>NORBERG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62883-2025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46008</v>
      </c>
      <c r="E92" s="1" t="n">
        <v>46232</v>
      </c>
      <c r="F92" t="inlineStr">
        <is>
          <t>VÄSTMANLANDS LÄN</t>
        </is>
      </c>
      <c r="G92" t="inlineStr">
        <is>
          <t>NORBERG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13465-2026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46093</v>
      </c>
      <c r="E93" s="1" t="n">
        <v>46232</v>
      </c>
      <c r="F93" t="inlineStr">
        <is>
          <t>VÄSTMANLANDS LÄN</t>
        </is>
      </c>
      <c r="G93" t="inlineStr">
        <is>
          <t>NORBERG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46232</v>
      </c>
      <c r="F94" t="inlineStr">
        <is>
          <t>VÄSTMANLANDS LÄN</t>
        </is>
      </c>
      <c r="G94" t="inlineStr">
        <is>
          <t>NORBERG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46014</v>
      </c>
      <c r="E95" s="1" t="n">
        <v>46232</v>
      </c>
      <c r="F95" t="inlineStr">
        <is>
          <t>VÄSTMANLANDS LÄN</t>
        </is>
      </c>
      <c r="G95" t="inlineStr">
        <is>
          <t>NORBERG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46232</v>
      </c>
      <c r="F96" t="inlineStr">
        <is>
          <t>VÄSTMANLANDS LÄN</t>
        </is>
      </c>
      <c r="G96" t="inlineStr">
        <is>
          <t>NORBERG</t>
        </is>
      </c>
      <c r="I96" t="n">
        <v>22.8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46020</v>
      </c>
      <c r="E97" s="1" t="n">
        <v>46232</v>
      </c>
      <c r="F97" t="inlineStr">
        <is>
          <t>VÄSTMANLANDS LÄN</t>
        </is>
      </c>
      <c r="G97" t="inlineStr">
        <is>
          <t>NORBERG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45537</v>
      </c>
      <c r="E98" s="1" t="n">
        <v>46232</v>
      </c>
      <c r="F98" t="inlineStr">
        <is>
          <t>VÄSTMANLANDS LÄN</t>
        </is>
      </c>
      <c r="G98" t="inlineStr">
        <is>
          <t>NORBERG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14234-2026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46099</v>
      </c>
      <c r="E99" s="1" t="n">
        <v>46232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46232</v>
      </c>
      <c r="F100" t="inlineStr">
        <is>
          <t>VÄSTMANLANDS LÄN</t>
        </is>
      </c>
      <c r="G100" t="inlineStr">
        <is>
          <t>NORBERG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15261-2026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46105</v>
      </c>
      <c r="E101" s="1" t="n">
        <v>46232</v>
      </c>
      <c r="F101" t="inlineStr">
        <is>
          <t>VÄSTMANLANDS LÄN</t>
        </is>
      </c>
      <c r="G101" t="inlineStr">
        <is>
          <t>NORBERG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46232</v>
      </c>
      <c r="F102" t="inlineStr">
        <is>
          <t>VÄSTMANLANDS LÄN</t>
        </is>
      </c>
      <c r="G102" t="inlineStr">
        <is>
          <t>NORBERG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46232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15981-2026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46108</v>
      </c>
      <c r="E104" s="1" t="n">
        <v>46232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51790-2024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45607</v>
      </c>
      <c r="E105" s="1" t="n">
        <v>46232</v>
      </c>
      <c r="F105" t="inlineStr">
        <is>
          <t>VÄSTMANLANDS LÄN</t>
        </is>
      </c>
      <c r="G105" t="inlineStr">
        <is>
          <t>NORBERG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16383-2026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46111</v>
      </c>
      <c r="E106" s="1" t="n">
        <v>46232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46114</v>
      </c>
      <c r="E107" s="1" t="n">
        <v>46232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46113</v>
      </c>
      <c r="E108" s="1" t="n">
        <v>46232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46232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18960-2025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45764</v>
      </c>
      <c r="E110" s="1" t="n">
        <v>46232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46232</v>
      </c>
      <c r="F111" t="inlineStr">
        <is>
          <t>VÄSTMANLANDS LÄN</t>
        </is>
      </c>
      <c r="G111" t="inlineStr">
        <is>
          <t>NORBERG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46232</v>
      </c>
      <c r="F112" t="inlineStr">
        <is>
          <t>VÄSTMANLANDS LÄN</t>
        </is>
      </c>
      <c r="G112" t="inlineStr">
        <is>
          <t>NORBERG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45320</v>
      </c>
      <c r="E113" s="1" t="n">
        <v>46232</v>
      </c>
      <c r="F113" t="inlineStr">
        <is>
          <t>VÄSTMANLANDS LÄN</t>
        </is>
      </c>
      <c r="G113" t="inlineStr">
        <is>
          <t>NORBERG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23702-2024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46232</v>
      </c>
      <c r="F114" t="inlineStr">
        <is>
          <t>VÄSTMANLANDS LÄN</t>
        </is>
      </c>
      <c r="G114" t="inlineStr">
        <is>
          <t>NORBERG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23705-2024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46232</v>
      </c>
      <c r="F115" t="inlineStr">
        <is>
          <t>VÄSTMANLANDS LÄN</t>
        </is>
      </c>
      <c r="G115" t="inlineStr">
        <is>
          <t>NORBERG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56940-2021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44480</v>
      </c>
      <c r="E116" s="1" t="n">
        <v>46232</v>
      </c>
      <c r="F116" t="inlineStr">
        <is>
          <t>VÄSTMANLANDS LÄN</t>
        </is>
      </c>
      <c r="G116" t="inlineStr">
        <is>
          <t>NORBERG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46232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46232</v>
      </c>
      <c r="F118" t="inlineStr">
        <is>
          <t>VÄSTMANLANDS LÄN</t>
        </is>
      </c>
      <c r="G118" t="inlineStr">
        <is>
          <t>NORBERG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19377-2025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45769</v>
      </c>
      <c r="E119" s="1" t="n">
        <v>46232</v>
      </c>
      <c r="F119" t="inlineStr">
        <is>
          <t>VÄSTMANLANDS LÄN</t>
        </is>
      </c>
      <c r="G119" t="inlineStr">
        <is>
          <t>NORBERG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46232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45598</v>
      </c>
      <c r="E121" s="1" t="n">
        <v>46232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45056</v>
      </c>
      <c r="E122" s="1" t="n">
        <v>46232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46019</v>
      </c>
      <c r="E123" s="1" t="n">
        <v>46232</v>
      </c>
      <c r="F123" t="inlineStr">
        <is>
          <t>VÄSTMANLANDS LÄN</t>
        </is>
      </c>
      <c r="G123" t="inlineStr">
        <is>
          <t>NORBERG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20407-2026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46139</v>
      </c>
      <c r="E124" s="1" t="n">
        <v>46232</v>
      </c>
      <c r="F124" t="inlineStr">
        <is>
          <t>VÄSTMANLANDS LÄN</t>
        </is>
      </c>
      <c r="G124" t="inlineStr">
        <is>
          <t>NORBERG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37198-2023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45155</v>
      </c>
      <c r="E125" s="1" t="n">
        <v>46232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46232</v>
      </c>
      <c r="F126" t="inlineStr">
        <is>
          <t>VÄSTMANLANDS LÄN</t>
        </is>
      </c>
      <c r="G126" t="inlineStr">
        <is>
          <t>NORBERG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20378-2023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45056</v>
      </c>
      <c r="E127" s="1" t="n">
        <v>46232</v>
      </c>
      <c r="F127" t="inlineStr">
        <is>
          <t>VÄSTMANLANDS LÄN</t>
        </is>
      </c>
      <c r="G127" t="inlineStr">
        <is>
          <t>NORBERG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46232</v>
      </c>
      <c r="F128" t="inlineStr">
        <is>
          <t>VÄSTMANLANDS LÄN</t>
        </is>
      </c>
      <c r="G128" t="inlineStr">
        <is>
          <t>NORBERG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46232</v>
      </c>
      <c r="F129" t="inlineStr">
        <is>
          <t>VÄSTMANLANDS LÄN</t>
        </is>
      </c>
      <c r="G129" t="inlineStr">
        <is>
          <t>NORBERG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45588</v>
      </c>
      <c r="E130" s="1" t="n">
        <v>46232</v>
      </c>
      <c r="F130" t="inlineStr">
        <is>
          <t>VÄSTMANLANDS LÄN</t>
        </is>
      </c>
      <c r="G130" t="inlineStr">
        <is>
          <t>NORBERG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44973</v>
      </c>
      <c r="E131" s="1" t="n">
        <v>46232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20968-2026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46142</v>
      </c>
      <c r="E132" s="1" t="n">
        <v>46232</v>
      </c>
      <c r="F132" t="inlineStr">
        <is>
          <t>VÄSTMANLANDS LÄN</t>
        </is>
      </c>
      <c r="G132" t="inlineStr">
        <is>
          <t>NORBERG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45034</v>
      </c>
      <c r="E133" s="1" t="n">
        <v>46232</v>
      </c>
      <c r="F133" t="inlineStr">
        <is>
          <t>VÄSTMANLANDS LÄN</t>
        </is>
      </c>
      <c r="G133" t="inlineStr">
        <is>
          <t>NORBERG</t>
        </is>
      </c>
      <c r="H133" t="inlineStr">
        <is>
          <t>Bergvik skog väst AB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21218-2026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46146</v>
      </c>
      <c r="E134" s="1" t="n">
        <v>46232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12.1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46232</v>
      </c>
      <c r="F135" t="inlineStr">
        <is>
          <t>VÄSTMANLANDS LÄN</t>
        </is>
      </c>
      <c r="G135" t="inlineStr">
        <is>
          <t>NORBERG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46232</v>
      </c>
      <c r="F136" t="inlineStr">
        <is>
          <t>VÄSTMANLANDS LÄN</t>
        </is>
      </c>
      <c r="G136" t="inlineStr">
        <is>
          <t>NORBERG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46232</v>
      </c>
      <c r="F137" t="inlineStr">
        <is>
          <t>VÄSTMANLANDS LÄN</t>
        </is>
      </c>
      <c r="G137" t="inlineStr">
        <is>
          <t>NORBERG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27716-2026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46190</v>
      </c>
      <c r="E138" s="1" t="n">
        <v>46232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46232</v>
      </c>
      <c r="F139" t="inlineStr">
        <is>
          <t>VÄSTMANLANDS LÄN</t>
        </is>
      </c>
      <c r="G139" t="inlineStr">
        <is>
          <t>NORBERG</t>
        </is>
      </c>
      <c r="H139" t="inlineStr">
        <is>
          <t>Övriga Aktiebolag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46232</v>
      </c>
      <c r="F140" t="inlineStr">
        <is>
          <t>VÄSTMANLANDS LÄN</t>
        </is>
      </c>
      <c r="G140" t="inlineStr">
        <is>
          <t>NORBERG</t>
        </is>
      </c>
      <c r="H140" t="inlineStr">
        <is>
          <t>Bergvik skog väst AB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21976-2026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46232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46153</v>
      </c>
      <c r="E142" s="1" t="n">
        <v>46232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46153</v>
      </c>
      <c r="E143" s="1" t="n">
        <v>46232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21984-2026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46153</v>
      </c>
      <c r="E144" s="1" t="n">
        <v>46232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37011-2023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45155</v>
      </c>
      <c r="E145" s="1" t="n">
        <v>46232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46232</v>
      </c>
      <c r="F146" t="inlineStr">
        <is>
          <t>VÄSTMANLANDS LÄN</t>
        </is>
      </c>
      <c r="G146" t="inlineStr">
        <is>
          <t>NORBERG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46232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46232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45613</v>
      </c>
      <c r="E149" s="1" t="n">
        <v>46232</v>
      </c>
      <c r="F149" t="inlineStr">
        <is>
          <t>VÄSTMANLANDS LÄN</t>
        </is>
      </c>
      <c r="G149" t="inlineStr">
        <is>
          <t>NORBERG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16503-2024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45408</v>
      </c>
      <c r="E150" s="1" t="n">
        <v>46232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56400-2025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45974</v>
      </c>
      <c r="E151" s="1" t="n">
        <v>46232</v>
      </c>
      <c r="F151" t="inlineStr">
        <is>
          <t>VÄSTMANLANDS LÄN</t>
        </is>
      </c>
      <c r="G151" t="inlineStr">
        <is>
          <t>NORBERG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46232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41448-2024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45560</v>
      </c>
      <c r="E153" s="1" t="n">
        <v>46232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46232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45769</v>
      </c>
      <c r="E155" s="1" t="n">
        <v>46232</v>
      </c>
      <c r="F155" t="inlineStr">
        <is>
          <t>VÄSTMANLANDS LÄN</t>
        </is>
      </c>
      <c r="G155" t="inlineStr">
        <is>
          <t>NORBERG</t>
        </is>
      </c>
      <c r="H155" t="inlineStr">
        <is>
          <t>Övriga Aktiebolag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25540-2023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46232</v>
      </c>
      <c r="F156" t="inlineStr">
        <is>
          <t>VÄSTMANLANDS LÄN</t>
        </is>
      </c>
      <c r="G156" t="inlineStr">
        <is>
          <t>NORBERG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46232</v>
      </c>
      <c r="F157" t="inlineStr">
        <is>
          <t>VÄSTMANLANDS LÄN</t>
        </is>
      </c>
      <c r="G157" t="inlineStr">
        <is>
          <t>NORBERG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58616-2024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45632</v>
      </c>
      <c r="E158" s="1" t="n">
        <v>46232</v>
      </c>
      <c r="F158" t="inlineStr">
        <is>
          <t>VÄSTMANLANDS LÄN</t>
        </is>
      </c>
      <c r="G158" t="inlineStr">
        <is>
          <t>NORBERG</t>
        </is>
      </c>
      <c r="H158" t="inlineStr">
        <is>
          <t>Bergvik skog väst AB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21543-2023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46232</v>
      </c>
      <c r="F159" t="inlineStr">
        <is>
          <t>VÄSTMANLANDS LÄN</t>
        </is>
      </c>
      <c r="G159" t="inlineStr">
        <is>
          <t>NORBERG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46232</v>
      </c>
      <c r="F160" t="inlineStr">
        <is>
          <t>VÄSTMANLANDS LÄN</t>
        </is>
      </c>
      <c r="G160" t="inlineStr">
        <is>
          <t>NORBERG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46232</v>
      </c>
      <c r="F161" t="inlineStr">
        <is>
          <t>VÄSTMANLANDS LÄN</t>
        </is>
      </c>
      <c r="G161" t="inlineStr">
        <is>
          <t>NORBERG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67356-2021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44523</v>
      </c>
      <c r="E162" s="1" t="n">
        <v>46232</v>
      </c>
      <c r="F162" t="inlineStr">
        <is>
          <t>VÄSTMANLANDS LÄN</t>
        </is>
      </c>
      <c r="G162" t="inlineStr">
        <is>
          <t>NORBERG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16042-2024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45405</v>
      </c>
      <c r="E163" s="1" t="n">
        <v>46232</v>
      </c>
      <c r="F163" t="inlineStr">
        <is>
          <t>VÄSTMANLANDS LÄN</t>
        </is>
      </c>
      <c r="G163" t="inlineStr">
        <is>
          <t>NORBERG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54573-2023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45233</v>
      </c>
      <c r="E164" s="1" t="n">
        <v>46232</v>
      </c>
      <c r="F164" t="inlineStr">
        <is>
          <t>VÄSTMANLANDS LÄN</t>
        </is>
      </c>
      <c r="G164" t="inlineStr">
        <is>
          <t>NORBERG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46176</v>
      </c>
      <c r="E165" s="1" t="n">
        <v>46232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46232</v>
      </c>
      <c r="F166" t="inlineStr">
        <is>
          <t>VÄSTMANLANDS LÄN</t>
        </is>
      </c>
      <c r="G166" t="inlineStr">
        <is>
          <t>NORBERG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45028</v>
      </c>
      <c r="E167" s="1" t="n">
        <v>46232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46232</v>
      </c>
      <c r="F168" t="inlineStr">
        <is>
          <t>VÄSTMANLANDS LÄN</t>
        </is>
      </c>
      <c r="G168" t="inlineStr">
        <is>
          <t>NORBERG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45089</v>
      </c>
      <c r="E169" s="1" t="n">
        <v>46232</v>
      </c>
      <c r="F169" t="inlineStr">
        <is>
          <t>VÄSTMANLANDS LÄN</t>
        </is>
      </c>
      <c r="G169" t="inlineStr">
        <is>
          <t>NORBERG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45567</v>
      </c>
      <c r="E170" s="1" t="n">
        <v>46232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46232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27475-2026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46232</v>
      </c>
      <c r="F172" t="inlineStr">
        <is>
          <t>VÄSTMANLANDS LÄN</t>
        </is>
      </c>
      <c r="G172" t="inlineStr">
        <is>
          <t>NORBERG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51798-2024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46232</v>
      </c>
      <c r="F173" t="inlineStr">
        <is>
          <t>VÄSTMANLANDS LÄN</t>
        </is>
      </c>
      <c r="G173" t="inlineStr">
        <is>
          <t>NORBERG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44992</v>
      </c>
      <c r="E174" s="1" t="n">
        <v>46232</v>
      </c>
      <c r="F174" t="inlineStr">
        <is>
          <t>VÄSTMANLANDS LÄN</t>
        </is>
      </c>
      <c r="G174" t="inlineStr">
        <is>
          <t>NORBERG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45169</v>
      </c>
      <c r="E175" s="1" t="n">
        <v>46232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27473-2026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46189</v>
      </c>
      <c r="E176" s="1" t="n">
        <v>46232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46232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46232</v>
      </c>
      <c r="F178" t="inlineStr">
        <is>
          <t>VÄSTMANLANDS LÄN</t>
        </is>
      </c>
      <c r="G178" t="inlineStr">
        <is>
          <t>NORBERG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46232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46232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46232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46232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45792</v>
      </c>
      <c r="E183" s="1" t="n">
        <v>46232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45290-2024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45576</v>
      </c>
      <c r="E184" s="1" t="n">
        <v>46232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9.300000000000001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S 409-2022</t>
        </is>
      </c>
      <c r="B185" t="inlineStr">
        <is>
          <t>samrådsanmälan</t>
        </is>
      </c>
      <c r="C185" t="inlineStr">
        <is>
          <t>Skogsgödsling</t>
        </is>
      </c>
      <c r="D185" s="1" t="n">
        <v>44585</v>
      </c>
      <c r="E185" s="1" t="n">
        <v>46232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>
      <c r="A186" t="inlineStr">
        <is>
          <t>S 606-2026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46085</v>
      </c>
      <c r="E186" s="1" t="n">
        <v>46232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26.4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2026-07-29T01:50:19Z</dcterms:created>
  <dcterms:modified xmlns:dcterms="http://purl.org/dc/terms/" xmlns:xsi="http://www.w3.org/2001/XMLSchema-instance" xsi:type="dcterms:W3CDTF">2026-07-29T01:50:19Z</dcterms:modified>
</cp:coreProperties>
</file>