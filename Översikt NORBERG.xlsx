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46288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46288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46288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46288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46288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63777-2025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46019</v>
      </c>
      <c r="E7" s="1" t="n">
        <v>46288</v>
      </c>
      <c r="F7" t="inlineStr">
        <is>
          <t>VÄSTMANLANDS LÄN</t>
        </is>
      </c>
      <c r="G7" t="inlineStr">
        <is>
          <t>NORBERG</t>
        </is>
      </c>
      <c r="I7" t="n">
        <v>3.4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8</v>
      </c>
      <c r="U7" t="n">
        <v>8</v>
      </c>
      <c r="V7" s="2" t="inlineStr">
        <is>
          <t>Spillkråka
Fläcknycklar</t>
        </is>
      </c>
      <c r="W7">
        <f>HYPERLINK("https://klasma.github.io/Logging_1962/artfynd/A 63777-2025 artfynd.xlsx", "A 63777-2025")</f>
        <v/>
      </c>
      <c r="X7">
        <f>HYPERLINK("https://klasma.github.io/Logging_1962/kartor/A 63777-2025 karta.png", "A 63777-2025")</f>
        <v/>
      </c>
      <c r="Y7">
        <f>HYPERLINK("https://klasma.github.io/Logging_1962/kartor_geotiff/A 63777-2025 georefererad karta.tif", "A 63777-2025")</f>
        <v/>
      </c>
      <c r="AA7">
        <f>HYPERLINK("https://klasma.github.io/Logging_1962/klagomål/A 63777-2025 FSC-klagomål.docx", "A 63777-2025")</f>
        <v/>
      </c>
      <c r="AB7">
        <f>HYPERLINK("https://klasma.github.io/Logging_1962/klagomålsmail/A 63777-2025 FSC-klagomål mail.docx", "A 63777-2025")</f>
        <v/>
      </c>
      <c r="AC7">
        <f>HYPERLINK("https://klasma.github.io/Logging_1962/tillsyn/A 63777-2025 tillsynsbegäran.docx", "A 63777-2025")</f>
        <v/>
      </c>
      <c r="AD7">
        <f>HYPERLINK("https://klasma.github.io/Logging_1962/tillsynsmail/A 63777-2025 tillsynsbegäran mail.docx", "A 63777-2025")</f>
        <v/>
      </c>
      <c r="AE7">
        <f>HYPERLINK("https://klasma.github.io/Logging_1962/fåglar/A 63777-2025 prioriterade fågelarter.docx", "A 63777-2025")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46288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46288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36009-2026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46288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Plattlummer
Gullviva</t>
        </is>
      </c>
      <c r="W10">
        <f>HYPERLINK("https://klasma.github.io/Logging_1962/artfynd/A 36009-2026 artfynd.xlsx", "A 36009-2026")</f>
        <v/>
      </c>
      <c r="X10">
        <f>HYPERLINK("https://klasma.github.io/Logging_1962/kartor/A 36009-2026 karta.png", "A 36009-2026")</f>
        <v/>
      </c>
      <c r="Y10">
        <f>HYPERLINK("https://klasma.github.io/Logging_1962/kartor_geotiff/A 36009-2026 georefererad karta.tif", "A 36009-2026")</f>
        <v/>
      </c>
      <c r="AA10">
        <f>HYPERLINK("https://klasma.github.io/Logging_1962/klagomål/A 36009-2026 FSC-klagomål.docx", "A 36009-2026")</f>
        <v/>
      </c>
      <c r="AB10">
        <f>HYPERLINK("https://klasma.github.io/Logging_1962/klagomålsmail/A 36009-2026 FSC-klagomål mail.docx", "A 36009-2026")</f>
        <v/>
      </c>
      <c r="AC10">
        <f>HYPERLINK("https://klasma.github.io/Logging_1962/tillsyn/A 36009-2026 tillsynsbegäran.docx", "A 36009-2026")</f>
        <v/>
      </c>
      <c r="AD10">
        <f>HYPERLINK("https://klasma.github.io/Logging_1962/tillsynsmail/A 36009-2026 tillsynsbegäran mail.docx", "A 36009-2026")</f>
        <v/>
      </c>
    </row>
    <row r="11" ht="15" customHeight="1">
      <c r="A11" t="inlineStr">
        <is>
          <t>A 55711-2024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45622</v>
      </c>
      <c r="E11" s="1" t="n">
        <v>46288</v>
      </c>
      <c r="F11" t="inlineStr">
        <is>
          <t>VÄSTMANLANDS LÄN</t>
        </is>
      </c>
      <c r="G11" t="inlineStr">
        <is>
          <t>NORBERG</t>
        </is>
      </c>
      <c r="I11" t="n">
        <v>2.5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Persiljespindling
Skogsknipprot</t>
        </is>
      </c>
      <c r="W11">
        <f>HYPERLINK("https://klasma.github.io/Logging_1962/artfynd/A 55711-2024 artfynd.xlsx", "A 55711-2024")</f>
        <v/>
      </c>
      <c r="X11">
        <f>HYPERLINK("https://klasma.github.io/Logging_1962/kartor/A 55711-2024 karta.png", "A 55711-2024")</f>
        <v/>
      </c>
      <c r="Y11">
        <f>HYPERLINK("https://klasma.github.io/Logging_1962/kartor_geotiff/A 55711-2024 georefererad karta.tif", "A 55711-2024")</f>
        <v/>
      </c>
      <c r="AA11">
        <f>HYPERLINK("https://klasma.github.io/Logging_1962/klagomål/A 55711-2024 FSC-klagomål.docx", "A 55711-2024")</f>
        <v/>
      </c>
      <c r="AB11">
        <f>HYPERLINK("https://klasma.github.io/Logging_1962/klagomålsmail/A 55711-2024 FSC-klagomål mail.docx", "A 55711-2024")</f>
        <v/>
      </c>
      <c r="AC11">
        <f>HYPERLINK("https://klasma.github.io/Logging_1962/tillsyn/A 55711-2024 tillsynsbegäran.docx", "A 55711-2024")</f>
        <v/>
      </c>
      <c r="AD11">
        <f>HYPERLINK("https://klasma.github.io/Logging_1962/tillsynsmail/A 55711-2024 tillsynsbegäran mail.docx", "A 55711-2024")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46288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46288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46288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46288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46288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46288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46288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20407-2026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46139</v>
      </c>
      <c r="E19" s="1" t="n">
        <v>46288</v>
      </c>
      <c r="F19" t="inlineStr">
        <is>
          <t>VÄSTMANLANDS LÄN</t>
        </is>
      </c>
      <c r="G19" t="inlineStr">
        <is>
          <t>NORBERG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HYPERLINK("https://klasma.github.io/Logging_1962/artfynd/A 20407-2026 artfynd.xlsx", "A 20407-2026")</f>
        <v/>
      </c>
      <c r="X19">
        <f>HYPERLINK("https://klasma.github.io/Logging_1962/kartor/A 20407-2026 karta.png", "A 20407-2026")</f>
        <v/>
      </c>
      <c r="Y19">
        <f>HYPERLINK("https://klasma.github.io/Logging_1962/kartor_geotiff/A 20407-2026 georefererad karta.tif", "A 20407-2026")</f>
        <v/>
      </c>
      <c r="AA19">
        <f>HYPERLINK("https://klasma.github.io/Logging_1962/klagomål/A 20407-2026 FSC-klagomål.docx", "A 20407-2026")</f>
        <v/>
      </c>
      <c r="AB19">
        <f>HYPERLINK("https://klasma.github.io/Logging_1962/klagomålsmail/A 20407-2026 FSC-klagomål mail.docx", "A 20407-2026")</f>
        <v/>
      </c>
      <c r="AC19">
        <f>HYPERLINK("https://klasma.github.io/Logging_1962/tillsyn/A 20407-2026 tillsynsbegäran.docx", "A 20407-2026")</f>
        <v/>
      </c>
      <c r="AD19">
        <f>HYPERLINK("https://klasma.github.io/Logging_1962/tillsynsmail/A 20407-2026 tillsynsbegäran mail.docx", "A 20407-2026")</f>
        <v/>
      </c>
      <c r="AE19">
        <f>HYPERLINK("https://klasma.github.io/Logging_1962/fåglar/A 20407-2026 prioriterade fågelarter.docx", "A 20407-2026")</f>
        <v/>
      </c>
    </row>
    <row r="20" ht="15" customHeight="1">
      <c r="A20" t="inlineStr">
        <is>
          <t>A 34967-2023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45142</v>
      </c>
      <c r="E20" s="1" t="n">
        <v>46288</v>
      </c>
      <c r="F20" t="inlineStr">
        <is>
          <t>VÄSTMANLANDS LÄN</t>
        </is>
      </c>
      <c r="G20" t="inlineStr">
        <is>
          <t>NORBERG</t>
        </is>
      </c>
      <c r="H20" t="inlineStr">
        <is>
          <t>Kyrkan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Skogsklocka</t>
        </is>
      </c>
      <c r="W20">
        <f>HYPERLINK("https://klasma.github.io/Logging_1962/artfynd/A 34967-2023 artfynd.xlsx", "A 34967-2023")</f>
        <v/>
      </c>
      <c r="X20">
        <f>HYPERLINK("https://klasma.github.io/Logging_1962/kartor/A 34967-2023 karta.png", "A 34967-2023")</f>
        <v/>
      </c>
      <c r="Y20">
        <f>HYPERLINK("https://klasma.github.io/Logging_1962/kartor_geotiff/A 34967-2023 georefererad karta.tif", "A 34967-2023")</f>
        <v/>
      </c>
      <c r="AA20">
        <f>HYPERLINK("https://klasma.github.io/Logging_1962/klagomål/A 34967-2023 FSC-klagomål.docx", "A 34967-2023")</f>
        <v/>
      </c>
      <c r="AB20">
        <f>HYPERLINK("https://klasma.github.io/Logging_1962/klagomålsmail/A 34967-2023 FSC-klagomål mail.docx", "A 34967-2023")</f>
        <v/>
      </c>
      <c r="AC20">
        <f>HYPERLINK("https://klasma.github.io/Logging_1962/tillsyn/A 34967-2023 tillsynsbegäran.docx", "A 34967-2023")</f>
        <v/>
      </c>
      <c r="AD20">
        <f>HYPERLINK("https://klasma.github.io/Logging_1962/tillsynsmail/A 34967-2023 tillsynsbegäran mail.docx", "A 34967-2023")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46288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18464-2025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46288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1.1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Skogsknipprot</t>
        </is>
      </c>
      <c r="W22">
        <f>HYPERLINK("https://klasma.github.io/Logging_1962/artfynd/A 18464-2025 artfynd.xlsx", "A 18464-2025")</f>
        <v/>
      </c>
      <c r="X22">
        <f>HYPERLINK("https://klasma.github.io/Logging_1962/kartor/A 18464-2025 karta.png", "A 18464-2025")</f>
        <v/>
      </c>
      <c r="Y22">
        <f>HYPERLINK("https://klasma.github.io/Logging_1962/kartor_geotiff/A 18464-2025 georefererad karta.tif", "A 18464-2025")</f>
        <v/>
      </c>
      <c r="AA22">
        <f>HYPERLINK("https://klasma.github.io/Logging_1962/klagomål/A 18464-2025 FSC-klagomål.docx", "A 18464-2025")</f>
        <v/>
      </c>
      <c r="AB22">
        <f>HYPERLINK("https://klasma.github.io/Logging_1962/klagomålsmail/A 18464-2025 FSC-klagomål mail.docx", "A 18464-2025")</f>
        <v/>
      </c>
      <c r="AC22">
        <f>HYPERLINK("https://klasma.github.io/Logging_1962/tillsyn/A 18464-2025 tillsynsbegäran.docx", "A 18464-2025")</f>
        <v/>
      </c>
      <c r="AD22">
        <f>HYPERLINK("https://klasma.github.io/Logging_1962/tillsynsmail/A 18464-2025 tillsynsbegäran mail.docx", "A 18464-2025")</f>
        <v/>
      </c>
    </row>
    <row r="23" ht="15" customHeight="1">
      <c r="A23" t="inlineStr">
        <is>
          <t>A 52063-2022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44873</v>
      </c>
      <c r="E23" s="1" t="n">
        <v>46288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52063-2022 artfynd.xlsx", "A 52063-2022")</f>
        <v/>
      </c>
      <c r="X23">
        <f>HYPERLINK("https://klasma.github.io/Logging_1962/kartor/A 52063-2022 karta.png", "A 52063-2022")</f>
        <v/>
      </c>
      <c r="Y23">
        <f>HYPERLINK("https://klasma.github.io/Logging_1962/kartor_geotiff/A 52063-2022 georefererad karta.tif", "A 52063-2022")</f>
        <v/>
      </c>
      <c r="AA23">
        <f>HYPERLINK("https://klasma.github.io/Logging_1962/klagomål/A 52063-2022 FSC-klagomål.docx", "A 52063-2022")</f>
        <v/>
      </c>
      <c r="AB23">
        <f>HYPERLINK("https://klasma.github.io/Logging_1962/klagomålsmail/A 52063-2022 FSC-klagomål mail.docx", "A 52063-2022")</f>
        <v/>
      </c>
      <c r="AC23">
        <f>HYPERLINK("https://klasma.github.io/Logging_1962/tillsyn/A 52063-2022 tillsynsbegäran.docx", "A 52063-2022")</f>
        <v/>
      </c>
      <c r="AD23">
        <f>HYPERLINK("https://klasma.github.io/Logging_1962/tillsynsmail/A 52063-2022 tillsynsbegäran mail.docx", "A 52063-2022")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46288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46288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46288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38927-2026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46288</v>
      </c>
      <c r="F27" t="inlineStr">
        <is>
          <t>VÄSTMANLANDS LÄN</t>
        </is>
      </c>
      <c r="G27" t="inlineStr">
        <is>
          <t>NORBERG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HYPERLINK("https://klasma.github.io/Logging_1962/artfynd/A 38927-2026 artfynd.xlsx", "A 38927-2026")</f>
        <v/>
      </c>
      <c r="X27">
        <f>HYPERLINK("https://klasma.github.io/Logging_1962/kartor/A 38927-2026 karta.png", "A 38927-2026")</f>
        <v/>
      </c>
      <c r="Y27">
        <f>HYPERLINK("https://klasma.github.io/Logging_1962/kartor_geotiff/A 38927-2026 georefererad karta.tif", "A 38927-2026")</f>
        <v/>
      </c>
      <c r="AA27">
        <f>HYPERLINK("https://klasma.github.io/Logging_1962/klagomål/A 38927-2026 FSC-klagomål.docx", "A 38927-2026")</f>
        <v/>
      </c>
      <c r="AB27">
        <f>HYPERLINK("https://klasma.github.io/Logging_1962/klagomålsmail/A 38927-2026 FSC-klagomål mail.docx", "A 38927-2026")</f>
        <v/>
      </c>
      <c r="AC27">
        <f>HYPERLINK("https://klasma.github.io/Logging_1962/tillsyn/A 38927-2026 tillsynsbegäran.docx", "A 38927-2026")</f>
        <v/>
      </c>
      <c r="AD27">
        <f>HYPERLINK("https://klasma.github.io/Logging_1962/tillsynsmail/A 38927-2026 tillsynsbegäran mail.docx", "A 38927-2026")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46288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46288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46288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46288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46288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46288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46288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46288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46288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46288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46288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46288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46288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46288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46288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46288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46288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46288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46288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46288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46288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51778-2024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46288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73797-2021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44552</v>
      </c>
      <c r="E50" s="1" t="n">
        <v>46288</v>
      </c>
      <c r="F50" t="inlineStr">
        <is>
          <t>VÄSTMANLANDS LÄN</t>
        </is>
      </c>
      <c r="G50" t="inlineStr">
        <is>
          <t>NORBERG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46288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46288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46288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45226</v>
      </c>
      <c r="E54" s="1" t="n">
        <v>46288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46288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45200</v>
      </c>
      <c r="E56" s="1" t="n">
        <v>46288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46288</v>
      </c>
      <c r="F57" t="inlineStr">
        <is>
          <t>VÄSTMANLANDS LÄN</t>
        </is>
      </c>
      <c r="G57" t="inlineStr">
        <is>
          <t>NORBERG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45730</v>
      </c>
      <c r="E58" s="1" t="n">
        <v>46288</v>
      </c>
      <c r="F58" t="inlineStr">
        <is>
          <t>VÄSTMANLANDS LÄN</t>
        </is>
      </c>
      <c r="G58" t="inlineStr">
        <is>
          <t>NORBERG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46288</v>
      </c>
      <c r="F59" t="inlineStr">
        <is>
          <t>VÄSTMANLANDS LÄN</t>
        </is>
      </c>
      <c r="G59" t="inlineStr">
        <is>
          <t>NORBERG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63505-2023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45274</v>
      </c>
      <c r="E60" s="1" t="n">
        <v>46288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45179</v>
      </c>
      <c r="E61" s="1" t="n">
        <v>46288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19075-2022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44691</v>
      </c>
      <c r="E62" s="1" t="n">
        <v>46288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45001</v>
      </c>
      <c r="E63" s="1" t="n">
        <v>46288</v>
      </c>
      <c r="F63" t="inlineStr">
        <is>
          <t>VÄSTMANLANDS LÄN</t>
        </is>
      </c>
      <c r="G63" t="inlineStr">
        <is>
          <t>NORBERG</t>
        </is>
      </c>
      <c r="I63" t="n">
        <v>22.4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46288</v>
      </c>
      <c r="F64" t="inlineStr">
        <is>
          <t>VÄSTMANLANDS LÄN</t>
        </is>
      </c>
      <c r="G64" t="inlineStr">
        <is>
          <t>NORBERG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46288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46288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45729</v>
      </c>
      <c r="E67" s="1" t="n">
        <v>46288</v>
      </c>
      <c r="F67" t="inlineStr">
        <is>
          <t>VÄSTMANLANDS LÄN</t>
        </is>
      </c>
      <c r="G67" t="inlineStr">
        <is>
          <t>NORBERG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56940-2021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44480</v>
      </c>
      <c r="E68" s="1" t="n">
        <v>46288</v>
      </c>
      <c r="F68" t="inlineStr">
        <is>
          <t>VÄSTMANLANDS LÄN</t>
        </is>
      </c>
      <c r="G68" t="inlineStr">
        <is>
          <t>NORBERG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46288</v>
      </c>
      <c r="F69" t="inlineStr">
        <is>
          <t>VÄSTMANLANDS LÄN</t>
        </is>
      </c>
      <c r="G69" t="inlineStr">
        <is>
          <t>NORBERG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19173-2025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45769</v>
      </c>
      <c r="E70" s="1" t="n">
        <v>46288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46288</v>
      </c>
      <c r="F71" t="inlineStr">
        <is>
          <t>VÄSTMANLANDS LÄN</t>
        </is>
      </c>
      <c r="G71" t="inlineStr">
        <is>
          <t>NORBERG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45169</v>
      </c>
      <c r="E72" s="1" t="n">
        <v>46288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45598</v>
      </c>
      <c r="E73" s="1" t="n">
        <v>46288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46288</v>
      </c>
      <c r="F74" t="inlineStr">
        <is>
          <t>VÄSTMANLANDS LÄN</t>
        </is>
      </c>
      <c r="G74" t="inlineStr">
        <is>
          <t>NORBERG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46288</v>
      </c>
      <c r="F75" t="inlineStr">
        <is>
          <t>VÄSTMANLANDS LÄN</t>
        </is>
      </c>
      <c r="G75" t="inlineStr">
        <is>
          <t>NORBERG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54306-2023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46288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45679</v>
      </c>
      <c r="E77" s="1" t="n">
        <v>46288</v>
      </c>
      <c r="F77" t="inlineStr">
        <is>
          <t>VÄSTMANLANDS LÄN</t>
        </is>
      </c>
      <c r="G77" t="inlineStr">
        <is>
          <t>NORBERG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20968-2026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46142</v>
      </c>
      <c r="E78" s="1" t="n">
        <v>46288</v>
      </c>
      <c r="F78" t="inlineStr">
        <is>
          <t>VÄSTMANLANDS LÄN</t>
        </is>
      </c>
      <c r="G78" t="inlineStr">
        <is>
          <t>NORBERG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46288</v>
      </c>
      <c r="F79" t="inlineStr">
        <is>
          <t>VÄSTMANLANDS LÄN</t>
        </is>
      </c>
      <c r="G79" t="inlineStr">
        <is>
          <t>NORBERG</t>
        </is>
      </c>
      <c r="H79" t="inlineStr">
        <is>
          <t>Bergvik skog väst AB</t>
        </is>
      </c>
      <c r="I79" t="n">
        <v>12.1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21504-2026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46148</v>
      </c>
      <c r="E80" s="1" t="n">
        <v>46288</v>
      </c>
      <c r="F80" t="inlineStr">
        <is>
          <t>VÄSTMANLANDS LÄN</t>
        </is>
      </c>
      <c r="G80" t="inlineStr">
        <is>
          <t>NORBERG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49001-2025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46288</v>
      </c>
      <c r="F81" t="inlineStr">
        <is>
          <t>VÄSTMANLANDS LÄN</t>
        </is>
      </c>
      <c r="G81" t="inlineStr">
        <is>
          <t>NORBERG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57993-2024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45631</v>
      </c>
      <c r="E82" s="1" t="n">
        <v>46288</v>
      </c>
      <c r="F82" t="inlineStr">
        <is>
          <t>VÄSTMANLANDS LÄN</t>
        </is>
      </c>
      <c r="G82" t="inlineStr">
        <is>
          <t>NORBERG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21526-2026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46148</v>
      </c>
      <c r="E83" s="1" t="n">
        <v>46288</v>
      </c>
      <c r="F83" t="inlineStr">
        <is>
          <t>VÄSTMANLANDS LÄN</t>
        </is>
      </c>
      <c r="G83" t="inlineStr">
        <is>
          <t>NORBERG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46149</v>
      </c>
      <c r="E84" s="1" t="n">
        <v>46288</v>
      </c>
      <c r="F84" t="inlineStr">
        <is>
          <t>VÄSTMANLANDS LÄN</t>
        </is>
      </c>
      <c r="G84" t="inlineStr">
        <is>
          <t>NORBERG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46288</v>
      </c>
      <c r="F85" t="inlineStr">
        <is>
          <t>VÄSTMANLANDS LÄN</t>
        </is>
      </c>
      <c r="G85" t="inlineStr">
        <is>
          <t>NORBERG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21973-2026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46153</v>
      </c>
      <c r="E86" s="1" t="n">
        <v>46288</v>
      </c>
      <c r="F86" t="inlineStr">
        <is>
          <t>VÄSTMANLANDS LÄN</t>
        </is>
      </c>
      <c r="G86" t="inlineStr">
        <is>
          <t>NORBERG</t>
        </is>
      </c>
      <c r="H86" t="inlineStr">
        <is>
          <t>Bergvik skog väst AB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21983-2026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46288</v>
      </c>
      <c r="F87" t="inlineStr">
        <is>
          <t>VÄSTMANLANDS LÄN</t>
        </is>
      </c>
      <c r="G87" t="inlineStr">
        <is>
          <t>NORBERG</t>
        </is>
      </c>
      <c r="H87" t="inlineStr">
        <is>
          <t>Övriga Aktiebolag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46288</v>
      </c>
      <c r="F88" t="inlineStr">
        <is>
          <t>VÄSTMANLANDS LÄN</t>
        </is>
      </c>
      <c r="G88" t="inlineStr">
        <is>
          <t>NORBERG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45205</v>
      </c>
      <c r="E89" s="1" t="n">
        <v>46288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45066-2023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45191</v>
      </c>
      <c r="E90" s="1" t="n">
        <v>46288</v>
      </c>
      <c r="F90" t="inlineStr">
        <is>
          <t>VÄSTMANLANDS LÄN</t>
        </is>
      </c>
      <c r="G90" t="inlineStr">
        <is>
          <t>NORBERG</t>
        </is>
      </c>
      <c r="H90" t="inlineStr">
        <is>
          <t>Bergvik skog väst AB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56400-2025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45974</v>
      </c>
      <c r="E91" s="1" t="n">
        <v>46288</v>
      </c>
      <c r="F91" t="inlineStr">
        <is>
          <t>VÄSTMANLANDS LÄN</t>
        </is>
      </c>
      <c r="G91" t="inlineStr">
        <is>
          <t>NORBERG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45966</v>
      </c>
      <c r="E92" s="1" t="n">
        <v>46288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46288</v>
      </c>
      <c r="F93" t="inlineStr">
        <is>
          <t>VÄSTMANLANDS LÄN</t>
        </is>
      </c>
      <c r="G93" t="inlineStr">
        <is>
          <t>NORBERG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46288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46288</v>
      </c>
      <c r="F95" t="inlineStr">
        <is>
          <t>VÄSTMANLANDS LÄN</t>
        </is>
      </c>
      <c r="G95" t="inlineStr">
        <is>
          <t>NORBERG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28589-2023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46288</v>
      </c>
      <c r="F96" t="inlineStr">
        <is>
          <t>VÄSTMANLANDS LÄN</t>
        </is>
      </c>
      <c r="G96" t="inlineStr">
        <is>
          <t>NORBERG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45989</v>
      </c>
      <c r="E97" s="1" t="n">
        <v>46288</v>
      </c>
      <c r="F97" t="inlineStr">
        <is>
          <t>VÄSTMANLANDS LÄN</t>
        </is>
      </c>
      <c r="G97" t="inlineStr">
        <is>
          <t>NORBERG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46288</v>
      </c>
      <c r="F98" t="inlineStr">
        <is>
          <t>VÄSTMANLANDS LÄN</t>
        </is>
      </c>
      <c r="G98" t="inlineStr">
        <is>
          <t>NORBERG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51790-2024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45607</v>
      </c>
      <c r="E99" s="1" t="n">
        <v>46288</v>
      </c>
      <c r="F99" t="inlineStr">
        <is>
          <t>VÄSTMANLANDS LÄN</t>
        </is>
      </c>
      <c r="G99" t="inlineStr">
        <is>
          <t>NORBERG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25331-2026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46176</v>
      </c>
      <c r="E100" s="1" t="n">
        <v>46288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46288</v>
      </c>
      <c r="F101" t="inlineStr">
        <is>
          <t>VÄSTMANLANDS LÄN</t>
        </is>
      </c>
      <c r="G101" t="inlineStr">
        <is>
          <t>NORBERG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62882-2025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46288</v>
      </c>
      <c r="F102" t="inlineStr">
        <is>
          <t>VÄSTMANLANDS LÄN</t>
        </is>
      </c>
      <c r="G102" t="inlineStr">
        <is>
          <t>NORBERG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18960-2025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45764</v>
      </c>
      <c r="E103" s="1" t="n">
        <v>46288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46288</v>
      </c>
      <c r="F104" t="inlineStr">
        <is>
          <t>VÄSTMANLANDS LÄN</t>
        </is>
      </c>
      <c r="G104" t="inlineStr">
        <is>
          <t>NORBERG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46014</v>
      </c>
      <c r="E105" s="1" t="n">
        <v>46288</v>
      </c>
      <c r="F105" t="inlineStr">
        <is>
          <t>VÄSTMANLANDS LÄN</t>
        </is>
      </c>
      <c r="G105" t="inlineStr">
        <is>
          <t>NORBERG</t>
        </is>
      </c>
      <c r="I105" t="n">
        <v>22.8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46020</v>
      </c>
      <c r="E106" s="1" t="n">
        <v>46288</v>
      </c>
      <c r="F106" t="inlineStr">
        <is>
          <t>VÄSTMANLANDS LÄN</t>
        </is>
      </c>
      <c r="G106" t="inlineStr">
        <is>
          <t>NORBERG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46288</v>
      </c>
      <c r="F107" t="inlineStr">
        <is>
          <t>VÄSTMANLANDS LÄN</t>
        </is>
      </c>
      <c r="G107" t="inlineStr">
        <is>
          <t>NORBERG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44973</v>
      </c>
      <c r="E108" s="1" t="n">
        <v>46288</v>
      </c>
      <c r="F108" t="inlineStr">
        <is>
          <t>VÄSTMANLANDS LÄN</t>
        </is>
      </c>
      <c r="G108" t="inlineStr">
        <is>
          <t>NORBERG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3587-2024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45320</v>
      </c>
      <c r="E109" s="1" t="n">
        <v>46288</v>
      </c>
      <c r="F109" t="inlineStr">
        <is>
          <t>VÄSTMANLANDS LÄN</t>
        </is>
      </c>
      <c r="G109" t="inlineStr">
        <is>
          <t>NORBERG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45454</v>
      </c>
      <c r="E110" s="1" t="n">
        <v>46288</v>
      </c>
      <c r="F110" t="inlineStr">
        <is>
          <t>VÄSTMANLANDS LÄN</t>
        </is>
      </c>
      <c r="G110" t="inlineStr">
        <is>
          <t>NORBERG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45454</v>
      </c>
      <c r="E111" s="1" t="n">
        <v>46288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46189</v>
      </c>
      <c r="E112" s="1" t="n">
        <v>46288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13.7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46288</v>
      </c>
      <c r="F113" t="inlineStr">
        <is>
          <t>VÄSTMANLANDS LÄN</t>
        </is>
      </c>
      <c r="G113" t="inlineStr">
        <is>
          <t>NORBERG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46189</v>
      </c>
      <c r="E114" s="1" t="n">
        <v>46288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27716-2026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46190</v>
      </c>
      <c r="E115" s="1" t="n">
        <v>46288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19377-2025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45769</v>
      </c>
      <c r="E116" s="1" t="n">
        <v>46288</v>
      </c>
      <c r="F116" t="inlineStr">
        <is>
          <t>VÄSTMANLANDS LÄN</t>
        </is>
      </c>
      <c r="G116" t="inlineStr">
        <is>
          <t>NORBERG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45408</v>
      </c>
      <c r="E117" s="1" t="n">
        <v>46288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60339-2025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45994</v>
      </c>
      <c r="E118" s="1" t="n">
        <v>46288</v>
      </c>
      <c r="F118" t="inlineStr">
        <is>
          <t>VÄSTMANLANDS LÄN</t>
        </is>
      </c>
      <c r="G118" t="inlineStr">
        <is>
          <t>NORBERG</t>
        </is>
      </c>
      <c r="H118" t="inlineStr">
        <is>
          <t>Kommuner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20381-2023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45056</v>
      </c>
      <c r="E119" s="1" t="n">
        <v>46288</v>
      </c>
      <c r="F119" t="inlineStr">
        <is>
          <t>VÄSTMANLANDS LÄN</t>
        </is>
      </c>
      <c r="G119" t="inlineStr">
        <is>
          <t>NORBERG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46288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20378-2023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45056</v>
      </c>
      <c r="E121" s="1" t="n">
        <v>46288</v>
      </c>
      <c r="F121" t="inlineStr">
        <is>
          <t>VÄSTMANLANDS LÄN</t>
        </is>
      </c>
      <c r="G121" t="inlineStr">
        <is>
          <t>NORBERG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46288</v>
      </c>
      <c r="F122" t="inlineStr">
        <is>
          <t>VÄSTMANLANDS LÄN</t>
        </is>
      </c>
      <c r="G122" t="inlineStr">
        <is>
          <t>NORBERG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46288</v>
      </c>
      <c r="F123" t="inlineStr">
        <is>
          <t>VÄSTMANLANDS LÄN</t>
        </is>
      </c>
      <c r="G123" t="inlineStr">
        <is>
          <t>NORBERG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46288</v>
      </c>
      <c r="F124" t="inlineStr">
        <is>
          <t>VÄSTMANLANDS LÄN</t>
        </is>
      </c>
      <c r="G124" t="inlineStr">
        <is>
          <t>NORBERG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44973</v>
      </c>
      <c r="E125" s="1" t="n">
        <v>46288</v>
      </c>
      <c r="F125" t="inlineStr">
        <is>
          <t>VÄSTMANLANDS LÄN</t>
        </is>
      </c>
      <c r="G125" t="inlineStr">
        <is>
          <t>NORBERG</t>
        </is>
      </c>
      <c r="H125" t="inlineStr">
        <is>
          <t>Övriga Aktiebolag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46093</v>
      </c>
      <c r="E126" s="1" t="n">
        <v>46288</v>
      </c>
      <c r="F126" t="inlineStr">
        <is>
          <t>VÄSTMANLANDS LÄN</t>
        </is>
      </c>
      <c r="G126" t="inlineStr">
        <is>
          <t>NORBERG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46288</v>
      </c>
      <c r="F127" t="inlineStr">
        <is>
          <t>VÄSTMANLANDS LÄN</t>
        </is>
      </c>
      <c r="G127" t="inlineStr">
        <is>
          <t>NORBERG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46153</v>
      </c>
      <c r="E128" s="1" t="n">
        <v>46288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46099</v>
      </c>
      <c r="E129" s="1" t="n">
        <v>46288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15261-2026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46288</v>
      </c>
      <c r="F130" t="inlineStr">
        <is>
          <t>VÄSTMANLANDS LÄN</t>
        </is>
      </c>
      <c r="G130" t="inlineStr">
        <is>
          <t>NORBERG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46288</v>
      </c>
      <c r="F131" t="inlineStr">
        <is>
          <t>VÄSTMANLANDS LÄN</t>
        </is>
      </c>
      <c r="G131" t="inlineStr">
        <is>
          <t>NORBERG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46288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45034</v>
      </c>
      <c r="E133" s="1" t="n">
        <v>46288</v>
      </c>
      <c r="F133" t="inlineStr">
        <is>
          <t>VÄSTMANLANDS LÄN</t>
        </is>
      </c>
      <c r="G133" t="inlineStr">
        <is>
          <t>NORBERG</t>
        </is>
      </c>
      <c r="H133" t="inlineStr">
        <is>
          <t>Bergvik skog väst AB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15981-2026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46288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46246</v>
      </c>
      <c r="E135" s="1" t="n">
        <v>46288</v>
      </c>
      <c r="F135" t="inlineStr">
        <is>
          <t>VÄSTMANLANDS LÄN</t>
        </is>
      </c>
      <c r="G135" t="inlineStr">
        <is>
          <t>NORBERG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16383-2026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46288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46247</v>
      </c>
      <c r="E137" s="1" t="n">
        <v>46288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46114</v>
      </c>
      <c r="E138" s="1" t="n">
        <v>46288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16897-2026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46288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46119</v>
      </c>
      <c r="E140" s="1" t="n">
        <v>46288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45155</v>
      </c>
      <c r="E141" s="1" t="n">
        <v>46288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46288</v>
      </c>
      <c r="F142" t="inlineStr">
        <is>
          <t>VÄSTMANLANDS LÄN</t>
        </is>
      </c>
      <c r="G142" t="inlineStr">
        <is>
          <t>NORBERG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53224-2024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45613</v>
      </c>
      <c r="E143" s="1" t="n">
        <v>46288</v>
      </c>
      <c r="F143" t="inlineStr">
        <is>
          <t>VÄSTMANLANDS LÄN</t>
        </is>
      </c>
      <c r="G143" t="inlineStr">
        <is>
          <t>NORBERG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46288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46288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46288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46288</v>
      </c>
      <c r="F147" t="inlineStr">
        <is>
          <t>VÄSTMANLANDS LÄN</t>
        </is>
      </c>
      <c r="G147" t="inlineStr">
        <is>
          <t>NORBERG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45200</v>
      </c>
      <c r="E148" s="1" t="n">
        <v>46288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46288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45089</v>
      </c>
      <c r="E150" s="1" t="n">
        <v>46288</v>
      </c>
      <c r="F150" t="inlineStr">
        <is>
          <t>VÄSTMANLANDS LÄN</t>
        </is>
      </c>
      <c r="G150" t="inlineStr">
        <is>
          <t>NORBERG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46265</v>
      </c>
      <c r="E151" s="1" t="n">
        <v>46288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35726-2026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46265</v>
      </c>
      <c r="E152" s="1" t="n">
        <v>46288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46288</v>
      </c>
      <c r="F153" t="inlineStr">
        <is>
          <t>VÄSTMANLANDS LÄN</t>
        </is>
      </c>
      <c r="G153" t="inlineStr">
        <is>
          <t>NORBERG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46223</v>
      </c>
      <c r="E154" s="1" t="n">
        <v>46288</v>
      </c>
      <c r="F154" t="inlineStr">
        <is>
          <t>VÄSTMANLANDS LÄN</t>
        </is>
      </c>
      <c r="G154" t="inlineStr">
        <is>
          <t>NORBERG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46288</v>
      </c>
      <c r="F155" t="inlineStr">
        <is>
          <t>VÄSTMANLANDS LÄN</t>
        </is>
      </c>
      <c r="G155" t="inlineStr">
        <is>
          <t>NORBERG</t>
        </is>
      </c>
      <c r="H155" t="inlineStr">
        <is>
          <t>Bergvik skog väst AB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21543-2023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45063</v>
      </c>
      <c r="E156" s="1" t="n">
        <v>46288</v>
      </c>
      <c r="F156" t="inlineStr">
        <is>
          <t>VÄSTMANLANDS LÄN</t>
        </is>
      </c>
      <c r="G156" t="inlineStr">
        <is>
          <t>NORBERG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36389-2026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46268</v>
      </c>
      <c r="E157" s="1" t="n">
        <v>46288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45607</v>
      </c>
      <c r="E158" s="1" t="n">
        <v>46288</v>
      </c>
      <c r="F158" t="inlineStr">
        <is>
          <t>VÄSTMANLANDS LÄN</t>
        </is>
      </c>
      <c r="G158" t="inlineStr">
        <is>
          <t>NORBERG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19254-2023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46288</v>
      </c>
      <c r="F159" t="inlineStr">
        <is>
          <t>VÄSTMANLANDS LÄN</t>
        </is>
      </c>
      <c r="G159" t="inlineStr">
        <is>
          <t>NORBERG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36394-2026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46268</v>
      </c>
      <c r="E160" s="1" t="n">
        <v>46288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67356-2021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44523</v>
      </c>
      <c r="E161" s="1" t="n">
        <v>46288</v>
      </c>
      <c r="F161" t="inlineStr">
        <is>
          <t>VÄSTMANLANDS LÄN</t>
        </is>
      </c>
      <c r="G161" t="inlineStr">
        <is>
          <t>NORBERG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46288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46197</v>
      </c>
      <c r="E163" s="1" t="n">
        <v>46288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45405</v>
      </c>
      <c r="E164" s="1" t="n">
        <v>46288</v>
      </c>
      <c r="F164" t="inlineStr">
        <is>
          <t>VÄSTMANLANDS LÄN</t>
        </is>
      </c>
      <c r="G164" t="inlineStr">
        <is>
          <t>NORBERG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46253</v>
      </c>
      <c r="E165" s="1" t="n">
        <v>46288</v>
      </c>
      <c r="F165" t="inlineStr">
        <is>
          <t>VÄSTMANLANDS LÄN</t>
        </is>
      </c>
      <c r="G165" t="inlineStr">
        <is>
          <t>NORBERG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36013-2026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46266</v>
      </c>
      <c r="E166" s="1" t="n">
        <v>46288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46232</v>
      </c>
      <c r="E167" s="1" t="n">
        <v>46288</v>
      </c>
      <c r="F167" t="inlineStr">
        <is>
          <t>VÄSTMANLANDS LÄN</t>
        </is>
      </c>
      <c r="G167" t="inlineStr">
        <is>
          <t>NORBERG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54573-2023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45233</v>
      </c>
      <c r="E168" s="1" t="n">
        <v>46288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31967-2026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46232</v>
      </c>
      <c r="E169" s="1" t="n">
        <v>46288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46233</v>
      </c>
      <c r="E170" s="1" t="n">
        <v>46288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45121</v>
      </c>
      <c r="E171" s="1" t="n">
        <v>46288</v>
      </c>
      <c r="F171" t="inlineStr">
        <is>
          <t>VÄSTMANLANDS LÄN</t>
        </is>
      </c>
      <c r="G171" t="inlineStr">
        <is>
          <t>NORBERG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45028</v>
      </c>
      <c r="E172" s="1" t="n">
        <v>46288</v>
      </c>
      <c r="F172" t="inlineStr">
        <is>
          <t>VÄSTMANLANDS LÄN</t>
        </is>
      </c>
      <c r="G172" t="inlineStr">
        <is>
          <t>NORBERG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32385-2026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46238</v>
      </c>
      <c r="E173" s="1" t="n">
        <v>46288</v>
      </c>
      <c r="F173" t="inlineStr">
        <is>
          <t>VÄSTMANLANDS LÄN</t>
        </is>
      </c>
      <c r="G173" t="inlineStr">
        <is>
          <t>NORBERG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45089</v>
      </c>
      <c r="E174" s="1" t="n">
        <v>46288</v>
      </c>
      <c r="F174" t="inlineStr">
        <is>
          <t>VÄSTMANLANDS LÄN</t>
        </is>
      </c>
      <c r="G174" t="inlineStr">
        <is>
          <t>NORBERG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45567</v>
      </c>
      <c r="E175" s="1" t="n">
        <v>46288</v>
      </c>
      <c r="F175" t="inlineStr">
        <is>
          <t>VÄSTMANLANDS LÄN</t>
        </is>
      </c>
      <c r="G175" t="inlineStr">
        <is>
          <t>NORBERG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44727</v>
      </c>
      <c r="E176" s="1" t="n">
        <v>46288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46288</v>
      </c>
      <c r="F177" t="inlineStr">
        <is>
          <t>VÄSTMANLANDS LÄN</t>
        </is>
      </c>
      <c r="G177" t="inlineStr">
        <is>
          <t>NORBERG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46288</v>
      </c>
      <c r="F178" t="inlineStr">
        <is>
          <t>VÄSTMANLANDS LÄN</t>
        </is>
      </c>
      <c r="G178" t="inlineStr">
        <is>
          <t>NORBERG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44992</v>
      </c>
      <c r="E179" s="1" t="n">
        <v>46288</v>
      </c>
      <c r="F179" t="inlineStr">
        <is>
          <t>VÄSTMANLANDS LÄN</t>
        </is>
      </c>
      <c r="G179" t="inlineStr">
        <is>
          <t>NORBERG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46288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45169</v>
      </c>
      <c r="E181" s="1" t="n">
        <v>46288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45440</v>
      </c>
      <c r="E182" s="1" t="n">
        <v>46288</v>
      </c>
      <c r="F182" t="inlineStr">
        <is>
          <t>VÄSTMANLANDS LÄN</t>
        </is>
      </c>
      <c r="G182" t="inlineStr">
        <is>
          <t>NORBERG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45191</v>
      </c>
      <c r="E183" s="1" t="n">
        <v>46288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45196</v>
      </c>
      <c r="E184" s="1" t="n">
        <v>46288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45390</v>
      </c>
      <c r="E185" s="1" t="n">
        <v>46288</v>
      </c>
      <c r="F185" t="inlineStr">
        <is>
          <t>VÄSTMANLANDS LÄN</t>
        </is>
      </c>
      <c r="G185" t="inlineStr">
        <is>
          <t>NORBERG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46288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23418-2025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46288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45576</v>
      </c>
      <c r="E188" s="1" t="n">
        <v>46288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46288</v>
      </c>
      <c r="F189" t="inlineStr">
        <is>
          <t>VÄSTMANLANDS LÄN</t>
        </is>
      </c>
      <c r="G189" t="inlineStr">
        <is>
          <t>NORBERG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46288</v>
      </c>
      <c r="F190" t="inlineStr">
        <is>
          <t>VÄSTMANLANDS LÄN</t>
        </is>
      </c>
      <c r="G190" t="inlineStr">
        <is>
          <t>NORBERG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46288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46288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46288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46288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2026-09-23T01:56:48Z</dcterms:created>
  <dcterms:modified xmlns:dcterms="http://purl.org/dc/terms/" xmlns:xsi="http://www.w3.org/2001/XMLSchema-instance" xsi:type="dcterms:W3CDTF">2026-09-23T01:56:48Z</dcterms:modified>
</cp:coreProperties>
</file>