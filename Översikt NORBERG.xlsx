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62471-2023</t>
        </is>
      </c>
      <c r="B2" s="1" t="n">
        <v>45268</v>
      </c>
      <c r="C2" s="1" t="n">
        <v>46191</v>
      </c>
      <c r="D2" t="inlineStr">
        <is>
          <t>VÄSTMANLANDS LÄN</t>
        </is>
      </c>
      <c r="E2" t="inlineStr">
        <is>
          <t>NORBERG</t>
        </is>
      </c>
      <c r="G2" t="n">
        <v>5.3</v>
      </c>
      <c r="H2" t="n">
        <v>0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Kryddspindling
Orange taggsvamp
Zontaggsvamp</t>
        </is>
      </c>
      <c r="S2">
        <f>HYPERLINK("https://klasma.github.io/Logging_1962/artfynd/A 62471-2023 artfynd.xlsx", "A 62471-2023")</f>
        <v/>
      </c>
      <c r="T2">
        <f>HYPERLINK("https://klasma.github.io/Logging_1962/kartor/A 62471-2023 karta.png", "A 62471-2023")</f>
        <v/>
      </c>
      <c r="V2">
        <f>HYPERLINK("https://klasma.github.io/Logging_1962/klagomål/A 62471-2023 FSC-klagomål.docx", "A 62471-2023")</f>
        <v/>
      </c>
      <c r="W2">
        <f>HYPERLINK("https://klasma.github.io/Logging_1962/klagomålsmail/A 62471-2023 FSC-klagomål mail.docx", "A 62471-2023")</f>
        <v/>
      </c>
      <c r="X2">
        <f>HYPERLINK("https://klasma.github.io/Logging_1962/tillsyn/A 62471-2023 tillsynsbegäran.docx", "A 62471-2023")</f>
        <v/>
      </c>
      <c r="Y2">
        <f>HYPERLINK("https://klasma.github.io/Logging_1962/tillsynsmail/A 62471-2023 tillsynsbegäran mail.docx", "A 62471-2023")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46191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Kandelabersvamp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15262-2026</t>
        </is>
      </c>
      <c r="B4" s="1" t="n">
        <v>46105</v>
      </c>
      <c r="C4" s="1" t="n">
        <v>46191</v>
      </c>
      <c r="D4" t="inlineStr">
        <is>
          <t>VÄSTMANLANDS LÄN</t>
        </is>
      </c>
      <c r="E4" t="inlineStr">
        <is>
          <t>NORBERG</t>
        </is>
      </c>
      <c r="G4" t="n">
        <v>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Brunklöver
Tvåblad</t>
        </is>
      </c>
      <c r="S4">
        <f>HYPERLINK("https://klasma.github.io/Logging_1962/artfynd/A 15262-2026 artfynd.xlsx", "A 15262-2026")</f>
        <v/>
      </c>
      <c r="T4">
        <f>HYPERLINK("https://klasma.github.io/Logging_1962/kartor/A 15262-2026 karta.png", "A 15262-2026")</f>
        <v/>
      </c>
      <c r="V4">
        <f>HYPERLINK("https://klasma.github.io/Logging_1962/klagomål/A 15262-2026 FSC-klagomål.docx", "A 15262-2026")</f>
        <v/>
      </c>
      <c r="W4">
        <f>HYPERLINK("https://klasma.github.io/Logging_1962/klagomålsmail/A 15262-2026 FSC-klagomål mail.docx", "A 15262-2026")</f>
        <v/>
      </c>
      <c r="X4">
        <f>HYPERLINK("https://klasma.github.io/Logging_1962/tillsyn/A 15262-2026 tillsynsbegäran.docx", "A 15262-2026")</f>
        <v/>
      </c>
      <c r="Y4">
        <f>HYPERLINK("https://klasma.github.io/Logging_1962/tillsynsmail/A 15262-2026 tillsynsbegäran mail.docx", "A 15262-2026")</f>
        <v/>
      </c>
    </row>
    <row r="5" ht="15" customHeight="1">
      <c r="A5" t="inlineStr">
        <is>
          <t>A 55711-2024</t>
        </is>
      </c>
      <c r="B5" s="1" t="n">
        <v>45622</v>
      </c>
      <c r="C5" s="1" t="n">
        <v>46191</v>
      </c>
      <c r="D5" t="inlineStr">
        <is>
          <t>VÄSTMANLANDS LÄN</t>
        </is>
      </c>
      <c r="E5" t="inlineStr">
        <is>
          <t>NORBERG</t>
        </is>
      </c>
      <c r="G5" t="n">
        <v>2.5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Persiljespindling
Skogsknipprot</t>
        </is>
      </c>
      <c r="S5">
        <f>HYPERLINK("https://klasma.github.io/Logging_1962/artfynd/A 55711-2024 artfynd.xlsx", "A 55711-2024")</f>
        <v/>
      </c>
      <c r="T5">
        <f>HYPERLINK("https://klasma.github.io/Logging_1962/kartor/A 55711-2024 karta.png", "A 55711-2024")</f>
        <v/>
      </c>
      <c r="V5">
        <f>HYPERLINK("https://klasma.github.io/Logging_1962/klagomål/A 55711-2024 FSC-klagomål.docx", "A 55711-2024")</f>
        <v/>
      </c>
      <c r="W5">
        <f>HYPERLINK("https://klasma.github.io/Logging_1962/klagomålsmail/A 55711-2024 FSC-klagomål mail.docx", "A 55711-2024")</f>
        <v/>
      </c>
      <c r="X5">
        <f>HYPERLINK("https://klasma.github.io/Logging_1962/tillsyn/A 55711-2024 tillsynsbegäran.docx", "A 55711-2024")</f>
        <v/>
      </c>
      <c r="Y5">
        <f>HYPERLINK("https://klasma.github.io/Logging_1962/tillsynsmail/A 55711-2024 tillsynsbegäran mail.docx", "A 55711-2024")</f>
        <v/>
      </c>
    </row>
    <row r="6" ht="15" customHeight="1">
      <c r="A6" t="inlineStr">
        <is>
          <t>A 33377-2023</t>
        </is>
      </c>
      <c r="B6" s="1" t="n">
        <v>45128</v>
      </c>
      <c r="C6" s="1" t="n">
        <v>46191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1.7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Gul taggsvamp
Dofttaggsvamp</t>
        </is>
      </c>
      <c r="S6">
        <f>HYPERLINK("https://klasma.github.io/Logging_1962/artfynd/A 33377-2023 artfynd.xlsx", "A 33377-2023")</f>
        <v/>
      </c>
      <c r="T6">
        <f>HYPERLINK("https://klasma.github.io/Logging_1962/kartor/A 33377-2023 karta.png", "A 33377-2023")</f>
        <v/>
      </c>
      <c r="V6">
        <f>HYPERLINK("https://klasma.github.io/Logging_1962/klagomål/A 33377-2023 FSC-klagomål.docx", "A 33377-2023")</f>
        <v/>
      </c>
      <c r="W6">
        <f>HYPERLINK("https://klasma.github.io/Logging_1962/klagomålsmail/A 33377-2023 FSC-klagomål mail.docx", "A 33377-2023")</f>
        <v/>
      </c>
      <c r="X6">
        <f>HYPERLINK("https://klasma.github.io/Logging_1962/tillsyn/A 33377-2023 tillsynsbegäran.docx", "A 33377-2023")</f>
        <v/>
      </c>
      <c r="Y6">
        <f>HYPERLINK("https://klasma.github.io/Logging_1962/tillsynsmail/A 33377-2023 tillsynsbegäran mail.docx", "A 33377-2023")</f>
        <v/>
      </c>
    </row>
    <row r="7" ht="15" customHeight="1">
      <c r="A7" t="inlineStr">
        <is>
          <t>A 9872-2022</t>
        </is>
      </c>
      <c r="B7" s="1" t="n">
        <v>44620</v>
      </c>
      <c r="C7" s="1" t="n">
        <v>46191</v>
      </c>
      <c r="D7" t="inlineStr">
        <is>
          <t>VÄSTMANLANDS LÄN</t>
        </is>
      </c>
      <c r="E7" t="inlineStr">
        <is>
          <t>NORBERG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Mindre vattensalamander</t>
        </is>
      </c>
      <c r="S7">
        <f>HYPERLINK("https://klasma.github.io/Logging_1962/artfynd/A 9872-2022 artfynd.xlsx", "A 9872-2022")</f>
        <v/>
      </c>
      <c r="T7">
        <f>HYPERLINK("https://klasma.github.io/Logging_1962/kartor/A 9872-2022 karta.png", "A 9872-2022")</f>
        <v/>
      </c>
      <c r="V7">
        <f>HYPERLINK("https://klasma.github.io/Logging_1962/klagomål/A 9872-2022 FSC-klagomål.docx", "A 9872-2022")</f>
        <v/>
      </c>
      <c r="W7">
        <f>HYPERLINK("https://klasma.github.io/Logging_1962/klagomålsmail/A 9872-2022 FSC-klagomål mail.docx", "A 9872-2022")</f>
        <v/>
      </c>
      <c r="X7">
        <f>HYPERLINK("https://klasma.github.io/Logging_1962/tillsyn/A 9872-2022 tillsynsbegäran.docx", "A 9872-2022")</f>
        <v/>
      </c>
      <c r="Y7">
        <f>HYPERLINK("https://klasma.github.io/Logging_1962/tillsynsmail/A 9872-2022 tillsynsbegäran mail.docx", "A 9872-2022")</f>
        <v/>
      </c>
    </row>
    <row r="8" ht="15" customHeight="1">
      <c r="A8" t="inlineStr">
        <is>
          <t>A 20257-2025</t>
        </is>
      </c>
      <c r="B8" s="1" t="n">
        <v>45773</v>
      </c>
      <c r="C8" s="1" t="n">
        <v>46191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HYPERLINK("https://klasma.github.io/Logging_1962/artfynd/A 20257-2025 artfynd.xlsx", "A 20257-2025")</f>
        <v/>
      </c>
      <c r="T8">
        <f>HYPERLINK("https://klasma.github.io/Logging_1962/kartor/A 20257-2025 karta.png", "A 20257-2025")</f>
        <v/>
      </c>
      <c r="V8">
        <f>HYPERLINK("https://klasma.github.io/Logging_1962/klagomål/A 20257-2025 FSC-klagomål.docx", "A 20257-2025")</f>
        <v/>
      </c>
      <c r="W8">
        <f>HYPERLINK("https://klasma.github.io/Logging_1962/klagomålsmail/A 20257-2025 FSC-klagomål mail.docx", "A 20257-2025")</f>
        <v/>
      </c>
      <c r="X8">
        <f>HYPERLINK("https://klasma.github.io/Logging_1962/tillsyn/A 20257-2025 tillsynsbegäran.docx", "A 20257-2025")</f>
        <v/>
      </c>
      <c r="Y8">
        <f>HYPERLINK("https://klasma.github.io/Logging_1962/tillsynsmail/A 20257-2025 tillsynsbegäran mail.docx", "A 20257-2025")</f>
        <v/>
      </c>
    </row>
    <row r="9" ht="15" customHeight="1">
      <c r="A9" t="inlineStr">
        <is>
          <t>A 15107-2025</t>
        </is>
      </c>
      <c r="B9" s="1" t="n">
        <v>45744</v>
      </c>
      <c r="C9" s="1" t="n">
        <v>46191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HYPERLINK("https://klasma.github.io/Logging_1962/artfynd/A 15107-2025 artfynd.xlsx", "A 15107-2025")</f>
        <v/>
      </c>
      <c r="T9">
        <f>HYPERLINK("https://klasma.github.io/Logging_1962/kartor/A 15107-2025 karta.png", "A 15107-2025")</f>
        <v/>
      </c>
      <c r="V9">
        <f>HYPERLINK("https://klasma.github.io/Logging_1962/klagomål/A 15107-2025 FSC-klagomål.docx", "A 15107-2025")</f>
        <v/>
      </c>
      <c r="W9">
        <f>HYPERLINK("https://klasma.github.io/Logging_1962/klagomålsmail/A 15107-2025 FSC-klagomål mail.docx", "A 15107-2025")</f>
        <v/>
      </c>
      <c r="X9">
        <f>HYPERLINK("https://klasma.github.io/Logging_1962/tillsyn/A 15107-2025 tillsynsbegäran.docx", "A 15107-2025")</f>
        <v/>
      </c>
      <c r="Y9">
        <f>HYPERLINK("https://klasma.github.io/Logging_1962/tillsynsmail/A 15107-2025 tillsynsbegäran mail.docx", "A 15107-2025")</f>
        <v/>
      </c>
    </row>
    <row r="10" ht="15" customHeight="1">
      <c r="A10" t="inlineStr">
        <is>
          <t>A 52063-2022</t>
        </is>
      </c>
      <c r="B10" s="1" t="n">
        <v>44873</v>
      </c>
      <c r="C10" s="1" t="n">
        <v>46191</v>
      </c>
      <c r="D10" t="inlineStr">
        <is>
          <t>VÄSTMANLANDS LÄN</t>
        </is>
      </c>
      <c r="E10" t="inlineStr">
        <is>
          <t>NORBERG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HYPERLINK("https://klasma.github.io/Logging_1962/artfynd/A 52063-2022 artfynd.xlsx", "A 52063-2022")</f>
        <v/>
      </c>
      <c r="T10">
        <f>HYPERLINK("https://klasma.github.io/Logging_1962/kartor/A 52063-2022 karta.png", "A 52063-2022")</f>
        <v/>
      </c>
      <c r="V10">
        <f>HYPERLINK("https://klasma.github.io/Logging_1962/klagomål/A 52063-2022 FSC-klagomål.docx", "A 52063-2022")</f>
        <v/>
      </c>
      <c r="W10">
        <f>HYPERLINK("https://klasma.github.io/Logging_1962/klagomålsmail/A 52063-2022 FSC-klagomål mail.docx", "A 52063-2022")</f>
        <v/>
      </c>
      <c r="X10">
        <f>HYPERLINK("https://klasma.github.io/Logging_1962/tillsyn/A 52063-2022 tillsynsbegäran.docx", "A 52063-2022")</f>
        <v/>
      </c>
      <c r="Y10">
        <f>HYPERLINK("https://klasma.github.io/Logging_1962/tillsynsmail/A 52063-2022 tillsynsbegäran mail.docx", "A 52063-2022")</f>
        <v/>
      </c>
    </row>
    <row r="11" ht="15" customHeight="1">
      <c r="A11" t="inlineStr">
        <is>
          <t>A 16565-2025</t>
        </is>
      </c>
      <c r="B11" s="1" t="n">
        <v>45752</v>
      </c>
      <c r="C11" s="1" t="n">
        <v>46191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HYPERLINK("https://klasma.github.io/Logging_1962/artfynd/A 16565-2025 artfynd.xlsx", "A 16565-2025")</f>
        <v/>
      </c>
      <c r="T11">
        <f>HYPERLINK("https://klasma.github.io/Logging_1962/kartor/A 16565-2025 karta.png", "A 16565-2025")</f>
        <v/>
      </c>
      <c r="V11">
        <f>HYPERLINK("https://klasma.github.io/Logging_1962/klagomål/A 16565-2025 FSC-klagomål.docx", "A 16565-2025")</f>
        <v/>
      </c>
      <c r="W11">
        <f>HYPERLINK("https://klasma.github.io/Logging_1962/klagomålsmail/A 16565-2025 FSC-klagomål mail.docx", "A 16565-2025")</f>
        <v/>
      </c>
      <c r="X11">
        <f>HYPERLINK("https://klasma.github.io/Logging_1962/tillsyn/A 16565-2025 tillsynsbegäran.docx", "A 16565-2025")</f>
        <v/>
      </c>
      <c r="Y11">
        <f>HYPERLINK("https://klasma.github.io/Logging_1962/tillsynsmail/A 16565-2025 tillsynsbegäran mail.docx", "A 16565-2025")</f>
        <v/>
      </c>
    </row>
    <row r="12" ht="15" customHeight="1">
      <c r="A12" t="inlineStr">
        <is>
          <t>A 61099-2024</t>
        </is>
      </c>
      <c r="B12" s="1" t="n">
        <v>45644</v>
      </c>
      <c r="C12" s="1" t="n">
        <v>46191</v>
      </c>
      <c r="D12" t="inlineStr">
        <is>
          <t>VÄSTMANLANDS LÄN</t>
        </is>
      </c>
      <c r="E12" t="inlineStr">
        <is>
          <t>NORBERG</t>
        </is>
      </c>
      <c r="G12" t="n">
        <v>0.4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61099-2024 artfynd.xlsx", "A 61099-2024")</f>
        <v/>
      </c>
      <c r="T12">
        <f>HYPERLINK("https://klasma.github.io/Logging_1962/kartor/A 61099-2024 karta.png", "A 61099-2024")</f>
        <v/>
      </c>
      <c r="V12">
        <f>HYPERLINK("https://klasma.github.io/Logging_1962/klagomål/A 61099-2024 FSC-klagomål.docx", "A 61099-2024")</f>
        <v/>
      </c>
      <c r="W12">
        <f>HYPERLINK("https://klasma.github.io/Logging_1962/klagomålsmail/A 61099-2024 FSC-klagomål mail.docx", "A 61099-2024")</f>
        <v/>
      </c>
      <c r="X12">
        <f>HYPERLINK("https://klasma.github.io/Logging_1962/tillsyn/A 61099-2024 tillsynsbegäran.docx", "A 61099-2024")</f>
        <v/>
      </c>
      <c r="Y12">
        <f>HYPERLINK("https://klasma.github.io/Logging_1962/tillsynsmail/A 61099-2024 tillsynsbegäran mail.docx", "A 61099-2024")</f>
        <v/>
      </c>
    </row>
    <row r="13" ht="15" customHeight="1">
      <c r="A13" t="inlineStr">
        <is>
          <t>A 34967-2023</t>
        </is>
      </c>
      <c r="B13" s="1" t="n">
        <v>45142</v>
      </c>
      <c r="C13" s="1" t="n">
        <v>46191</v>
      </c>
      <c r="D13" t="inlineStr">
        <is>
          <t>VÄSTMANLANDS LÄN</t>
        </is>
      </c>
      <c r="E13" t="inlineStr">
        <is>
          <t>NORBERG</t>
        </is>
      </c>
      <c r="F13" t="inlineStr">
        <is>
          <t>Kyrkan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HYPERLINK("https://klasma.github.io/Logging_1962/artfynd/A 34967-2023 artfynd.xlsx", "A 34967-2023")</f>
        <v/>
      </c>
      <c r="T13">
        <f>HYPERLINK("https://klasma.github.io/Logging_1962/kartor/A 34967-2023 karta.png", "A 34967-2023")</f>
        <v/>
      </c>
      <c r="V13">
        <f>HYPERLINK("https://klasma.github.io/Logging_1962/klagomål/A 34967-2023 FSC-klagomål.docx", "A 34967-2023")</f>
        <v/>
      </c>
      <c r="W13">
        <f>HYPERLINK("https://klasma.github.io/Logging_1962/klagomålsmail/A 34967-2023 FSC-klagomål mail.docx", "A 34967-2023")</f>
        <v/>
      </c>
      <c r="X13">
        <f>HYPERLINK("https://klasma.github.io/Logging_1962/tillsyn/A 34967-2023 tillsynsbegäran.docx", "A 34967-2023")</f>
        <v/>
      </c>
      <c r="Y13">
        <f>HYPERLINK("https://klasma.github.io/Logging_1962/tillsynsmail/A 34967-2023 tillsynsbegäran mail.docx", "A 34967-2023")</f>
        <v/>
      </c>
    </row>
    <row r="14" ht="15" customHeight="1">
      <c r="A14" t="inlineStr">
        <is>
          <t>A 56936-2021</t>
        </is>
      </c>
      <c r="B14" s="1" t="n">
        <v>44480</v>
      </c>
      <c r="C14" s="1" t="n">
        <v>46191</v>
      </c>
      <c r="D14" t="inlineStr">
        <is>
          <t>VÄSTMANLANDS LÄN</t>
        </is>
      </c>
      <c r="E14" t="inlineStr">
        <is>
          <t>NORBERG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56936-2021 artfynd.xlsx", "A 56936-2021")</f>
        <v/>
      </c>
      <c r="T14">
        <f>HYPERLINK("https://klasma.github.io/Logging_1962/kartor/A 56936-2021 karta.png", "A 56936-2021")</f>
        <v/>
      </c>
      <c r="V14">
        <f>HYPERLINK("https://klasma.github.io/Logging_1962/klagomål/A 56936-2021 FSC-klagomål.docx", "A 56936-2021")</f>
        <v/>
      </c>
      <c r="W14">
        <f>HYPERLINK("https://klasma.github.io/Logging_1962/klagomålsmail/A 56936-2021 FSC-klagomål mail.docx", "A 56936-2021")</f>
        <v/>
      </c>
      <c r="X14">
        <f>HYPERLINK("https://klasma.github.io/Logging_1962/tillsyn/A 56936-2021 tillsynsbegäran.docx", "A 56936-2021")</f>
        <v/>
      </c>
      <c r="Y14">
        <f>HYPERLINK("https://klasma.github.io/Logging_1962/tillsynsmail/A 56936-2021 tillsynsbegäran mail.docx", "A 56936-2021")</f>
        <v/>
      </c>
    </row>
    <row r="15" ht="15" customHeight="1">
      <c r="A15" t="inlineStr">
        <is>
          <t>A 18464-2025</t>
        </is>
      </c>
      <c r="B15" s="1" t="n">
        <v>45762</v>
      </c>
      <c r="C15" s="1" t="n">
        <v>46191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18464-2025 artfynd.xlsx", "A 18464-2025")</f>
        <v/>
      </c>
      <c r="T15">
        <f>HYPERLINK("https://klasma.github.io/Logging_1962/kartor/A 18464-2025 karta.png", "A 18464-2025")</f>
        <v/>
      </c>
      <c r="V15">
        <f>HYPERLINK("https://klasma.github.io/Logging_1962/klagomål/A 18464-2025 FSC-klagomål.docx", "A 18464-2025")</f>
        <v/>
      </c>
      <c r="W15">
        <f>HYPERLINK("https://klasma.github.io/Logging_1962/klagomålsmail/A 18464-2025 FSC-klagomål mail.docx", "A 18464-2025")</f>
        <v/>
      </c>
      <c r="X15">
        <f>HYPERLINK("https://klasma.github.io/Logging_1962/tillsyn/A 18464-2025 tillsynsbegäran.docx", "A 18464-2025")</f>
        <v/>
      </c>
      <c r="Y15">
        <f>HYPERLINK("https://klasma.github.io/Logging_1962/tillsynsmail/A 18464-2025 tillsynsbegäran mail.docx", "A 18464-2025")</f>
        <v/>
      </c>
    </row>
    <row r="16" ht="15" customHeight="1">
      <c r="A16" t="inlineStr">
        <is>
          <t>A 38017-2025</t>
        </is>
      </c>
      <c r="B16" s="1" t="n">
        <v>45882</v>
      </c>
      <c r="C16" s="1" t="n">
        <v>46191</v>
      </c>
      <c r="D16" t="inlineStr">
        <is>
          <t>VÄSTMANLANDS LÄN</t>
        </is>
      </c>
      <c r="E16" t="inlineStr">
        <is>
          <t>NORBERG</t>
        </is>
      </c>
      <c r="F16" t="inlineStr">
        <is>
          <t>Övriga Aktiebolag</t>
        </is>
      </c>
      <c r="G16" t="n">
        <v>15.5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HYPERLINK("https://klasma.github.io/Logging_1962/artfynd/A 38017-2025 artfynd.xlsx", "A 38017-2025")</f>
        <v/>
      </c>
      <c r="T16">
        <f>HYPERLINK("https://klasma.github.io/Logging_1962/kartor/A 38017-2025 karta.png", "A 38017-2025")</f>
        <v/>
      </c>
      <c r="V16">
        <f>HYPERLINK("https://klasma.github.io/Logging_1962/klagomål/A 38017-2025 FSC-klagomål.docx", "A 38017-2025")</f>
        <v/>
      </c>
      <c r="W16">
        <f>HYPERLINK("https://klasma.github.io/Logging_1962/klagomålsmail/A 38017-2025 FSC-klagomål mail.docx", "A 38017-2025")</f>
        <v/>
      </c>
      <c r="X16">
        <f>HYPERLINK("https://klasma.github.io/Logging_1962/tillsyn/A 38017-2025 tillsynsbegäran.docx", "A 38017-2025")</f>
        <v/>
      </c>
      <c r="Y16">
        <f>HYPERLINK("https://klasma.github.io/Logging_1962/tillsynsmail/A 38017-2025 tillsynsbegäran mail.docx", "A 38017-2025")</f>
        <v/>
      </c>
    </row>
    <row r="17" ht="15" customHeight="1">
      <c r="A17" t="inlineStr">
        <is>
          <t>A 45929-2021</t>
        </is>
      </c>
      <c r="B17" s="1" t="n">
        <v>44441</v>
      </c>
      <c r="C17" s="1" t="n">
        <v>46191</v>
      </c>
      <c r="D17" t="inlineStr">
        <is>
          <t>VÄSTMANLANDS LÄN</t>
        </is>
      </c>
      <c r="E17" t="inlineStr">
        <is>
          <t>NORBERG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51415-2022</t>
        </is>
      </c>
      <c r="B18" s="1" t="n">
        <v>44869</v>
      </c>
      <c r="C18" s="1" t="n">
        <v>46191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49143-2022</t>
        </is>
      </c>
      <c r="B19" s="1" t="n">
        <v>44860</v>
      </c>
      <c r="C19" s="1" t="n">
        <v>46191</v>
      </c>
      <c r="D19" t="inlineStr">
        <is>
          <t>VÄSTMANLANDS LÄN</t>
        </is>
      </c>
      <c r="E19" t="inlineStr">
        <is>
          <t>NORBERG</t>
        </is>
      </c>
      <c r="F19" t="inlineStr">
        <is>
          <t>Sveaskog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49163-2022</t>
        </is>
      </c>
      <c r="B20" s="1" t="n">
        <v>44860</v>
      </c>
      <c r="C20" s="1" t="n">
        <v>46191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44016-2022</t>
        </is>
      </c>
      <c r="B21" s="1" t="n">
        <v>44838</v>
      </c>
      <c r="C21" s="1" t="n">
        <v>46191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7.2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52076-2022</t>
        </is>
      </c>
      <c r="B22" s="1" t="n">
        <v>44873</v>
      </c>
      <c r="C22" s="1" t="n">
        <v>46191</v>
      </c>
      <c r="D22" t="inlineStr">
        <is>
          <t>VÄSTMANLANDS LÄN</t>
        </is>
      </c>
      <c r="E22" t="inlineStr">
        <is>
          <t>NORBERG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48544-2021</t>
        </is>
      </c>
      <c r="B23" s="1" t="n">
        <v>44452</v>
      </c>
      <c r="C23" s="1" t="n">
        <v>46191</v>
      </c>
      <c r="D23" t="inlineStr">
        <is>
          <t>VÄSTMANLANDS LÄN</t>
        </is>
      </c>
      <c r="E23" t="inlineStr">
        <is>
          <t>NORBERG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45934-2021</t>
        </is>
      </c>
      <c r="B24" s="1" t="n">
        <v>44441</v>
      </c>
      <c r="C24" s="1" t="n">
        <v>46191</v>
      </c>
      <c r="D24" t="inlineStr">
        <is>
          <t>VÄSTMANLANDS LÄN</t>
        </is>
      </c>
      <c r="E24" t="inlineStr">
        <is>
          <t>NORBERG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6353-2022</t>
        </is>
      </c>
      <c r="B25" s="1" t="n">
        <v>44600</v>
      </c>
      <c r="C25" s="1" t="n">
        <v>46191</v>
      </c>
      <c r="D25" t="inlineStr">
        <is>
          <t>VÄSTMANLANDS LÄN</t>
        </is>
      </c>
      <c r="E25" t="inlineStr">
        <is>
          <t>NORBERG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45213-2022</t>
        </is>
      </c>
      <c r="B26" s="1" t="n">
        <v>44844</v>
      </c>
      <c r="C26" s="1" t="n">
        <v>46191</v>
      </c>
      <c r="D26" t="inlineStr">
        <is>
          <t>VÄSTMANLANDS LÄN</t>
        </is>
      </c>
      <c r="E26" t="inlineStr">
        <is>
          <t>NORBERG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47607-2022</t>
        </is>
      </c>
      <c r="B27" s="1" t="n">
        <v>44852</v>
      </c>
      <c r="C27" s="1" t="n">
        <v>46191</v>
      </c>
      <c r="D27" t="inlineStr">
        <is>
          <t>VÄSTMANLANDS LÄN</t>
        </is>
      </c>
      <c r="E27" t="inlineStr">
        <is>
          <t>NORBERG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31257-2021</t>
        </is>
      </c>
      <c r="B28" s="1" t="n">
        <v>44368</v>
      </c>
      <c r="C28" s="1" t="n">
        <v>46191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44015-2022</t>
        </is>
      </c>
      <c r="B29" s="1" t="n">
        <v>44838</v>
      </c>
      <c r="C29" s="1" t="n">
        <v>46191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9875-2022</t>
        </is>
      </c>
      <c r="B30" s="1" t="n">
        <v>44620</v>
      </c>
      <c r="C30" s="1" t="n">
        <v>46191</v>
      </c>
      <c r="D30" t="inlineStr">
        <is>
          <t>VÄSTMANLANDS LÄN</t>
        </is>
      </c>
      <c r="E30" t="inlineStr">
        <is>
          <t>NORBERG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46641-2022</t>
        </is>
      </c>
      <c r="B31" s="1" t="n">
        <v>44849</v>
      </c>
      <c r="C31" s="1" t="n">
        <v>46191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56929-2021</t>
        </is>
      </c>
      <c r="B32" s="1" t="n">
        <v>44480</v>
      </c>
      <c r="C32" s="1" t="n">
        <v>46191</v>
      </c>
      <c r="D32" t="inlineStr">
        <is>
          <t>VÄSTMANLANDS LÄN</t>
        </is>
      </c>
      <c r="E32" t="inlineStr">
        <is>
          <t>NORBERG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48143-2021</t>
        </is>
      </c>
      <c r="B33" s="1" t="n">
        <v>44449</v>
      </c>
      <c r="C33" s="1" t="n">
        <v>46191</v>
      </c>
      <c r="D33" t="inlineStr">
        <is>
          <t>VÄSTMANLANDS LÄN</t>
        </is>
      </c>
      <c r="E33" t="inlineStr">
        <is>
          <t>NORBERG</t>
        </is>
      </c>
      <c r="F33" t="inlineStr">
        <is>
          <t>Bergvik skog väst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35656-2021</t>
        </is>
      </c>
      <c r="B34" s="1" t="n">
        <v>44386</v>
      </c>
      <c r="C34" s="1" t="n">
        <v>46191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47599-2022</t>
        </is>
      </c>
      <c r="B35" s="1" t="n">
        <v>44852</v>
      </c>
      <c r="C35" s="1" t="n">
        <v>46191</v>
      </c>
      <c r="D35" t="inlineStr">
        <is>
          <t>VÄSTMANLANDS LÄN</t>
        </is>
      </c>
      <c r="E35" t="inlineStr">
        <is>
          <t>NORBERG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42504-2022</t>
        </is>
      </c>
      <c r="B36" s="1" t="n">
        <v>44831</v>
      </c>
      <c r="C36" s="1" t="n">
        <v>46191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42505-2022</t>
        </is>
      </c>
      <c r="B37" s="1" t="n">
        <v>44831</v>
      </c>
      <c r="C37" s="1" t="n">
        <v>46191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12233-2022</t>
        </is>
      </c>
      <c r="B38" s="1" t="n">
        <v>44635</v>
      </c>
      <c r="C38" s="1" t="n">
        <v>46191</v>
      </c>
      <c r="D38" t="inlineStr">
        <is>
          <t>VÄSTMANLANDS LÄN</t>
        </is>
      </c>
      <c r="E38" t="inlineStr">
        <is>
          <t>NORBERG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51798-2024</t>
        </is>
      </c>
      <c r="B39" s="1" t="n">
        <v>45607</v>
      </c>
      <c r="C39" s="1" t="n">
        <v>46191</v>
      </c>
      <c r="D39" t="inlineStr">
        <is>
          <t>VÄSTMANLANDS LÄN</t>
        </is>
      </c>
      <c r="E39" t="inlineStr">
        <is>
          <t>NORBERG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67361-2021</t>
        </is>
      </c>
      <c r="B40" s="1" t="n">
        <v>44523</v>
      </c>
      <c r="C40" s="1" t="n">
        <v>46191</v>
      </c>
      <c r="D40" t="inlineStr">
        <is>
          <t>VÄSTMANLANDS LÄN</t>
        </is>
      </c>
      <c r="E40" t="inlineStr">
        <is>
          <t>NORBERG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2312-2022</t>
        </is>
      </c>
      <c r="B41" s="1" t="n">
        <v>44578</v>
      </c>
      <c r="C41" s="1" t="n">
        <v>46191</v>
      </c>
      <c r="D41" t="inlineStr">
        <is>
          <t>VÄSTMANLANDS LÄN</t>
        </is>
      </c>
      <c r="E41" t="inlineStr">
        <is>
          <t>NORBERG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67356-2021</t>
        </is>
      </c>
      <c r="B42" s="1" t="n">
        <v>44523</v>
      </c>
      <c r="C42" s="1" t="n">
        <v>46191</v>
      </c>
      <c r="D42" t="inlineStr">
        <is>
          <t>VÄSTMANLANDS LÄN</t>
        </is>
      </c>
      <c r="E42" t="inlineStr">
        <is>
          <t>NORBERG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15890-2024</t>
        </is>
      </c>
      <c r="B43" s="1" t="n">
        <v>45405</v>
      </c>
      <c r="C43" s="1" t="n">
        <v>46191</v>
      </c>
      <c r="D43" t="inlineStr">
        <is>
          <t>VÄSTMANLANDS LÄN</t>
        </is>
      </c>
      <c r="E43" t="inlineStr">
        <is>
          <t>NORBERG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47846-2024</t>
        </is>
      </c>
      <c r="B44" s="1" t="n">
        <v>45588</v>
      </c>
      <c r="C44" s="1" t="n">
        <v>46191</v>
      </c>
      <c r="D44" t="inlineStr">
        <is>
          <t>VÄSTMANLANDS LÄN</t>
        </is>
      </c>
      <c r="E44" t="inlineStr">
        <is>
          <t>NORBERG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50124-2022</t>
        </is>
      </c>
      <c r="B45" s="1" t="n">
        <v>44860</v>
      </c>
      <c r="C45" s="1" t="n">
        <v>46191</v>
      </c>
      <c r="D45" t="inlineStr">
        <is>
          <t>VÄSTMANLANDS LÄN</t>
        </is>
      </c>
      <c r="E45" t="inlineStr">
        <is>
          <t>NORBERG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16225-2023</t>
        </is>
      </c>
      <c r="B46" s="1" t="n">
        <v>45028</v>
      </c>
      <c r="C46" s="1" t="n">
        <v>46191</v>
      </c>
      <c r="D46" t="inlineStr">
        <is>
          <t>VÄSTMANLANDS LÄN</t>
        </is>
      </c>
      <c r="E46" t="inlineStr">
        <is>
          <t>NORBERG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43103-2024</t>
        </is>
      </c>
      <c r="B47" s="1" t="n">
        <v>45567</v>
      </c>
      <c r="C47" s="1" t="n">
        <v>46191</v>
      </c>
      <c r="D47" t="inlineStr">
        <is>
          <t>VÄSTMANLANDS LÄN</t>
        </is>
      </c>
      <c r="E47" t="inlineStr">
        <is>
          <t>NORBERG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21543-2023</t>
        </is>
      </c>
      <c r="B48" s="1" t="n">
        <v>45063</v>
      </c>
      <c r="C48" s="1" t="n">
        <v>46191</v>
      </c>
      <c r="D48" t="inlineStr">
        <is>
          <t>VÄSTMANLANDS LÄN</t>
        </is>
      </c>
      <c r="E48" t="inlineStr">
        <is>
          <t>NORBERG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48396-2023</t>
        </is>
      </c>
      <c r="B49" s="1" t="n">
        <v>45205</v>
      </c>
      <c r="C49" s="1" t="n">
        <v>46191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4887-2026</t>
        </is>
      </c>
      <c r="B50" s="1" t="n">
        <v>46045</v>
      </c>
      <c r="C50" s="1" t="n">
        <v>46191</v>
      </c>
      <c r="D50" t="inlineStr">
        <is>
          <t>VÄSTMANLANDS LÄN</t>
        </is>
      </c>
      <c r="E50" t="inlineStr">
        <is>
          <t>NORBERG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32524-2023</t>
        </is>
      </c>
      <c r="B51" s="1" t="n">
        <v>45121</v>
      </c>
      <c r="C51" s="1" t="n">
        <v>46191</v>
      </c>
      <c r="D51" t="inlineStr">
        <is>
          <t>VÄSTMANLANDS LÄN</t>
        </is>
      </c>
      <c r="E51" t="inlineStr">
        <is>
          <t>NORBERG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44884-2025</t>
        </is>
      </c>
      <c r="B52" s="1" t="n">
        <v>45918</v>
      </c>
      <c r="C52" s="1" t="n">
        <v>46191</v>
      </c>
      <c r="D52" t="inlineStr">
        <is>
          <t>VÄSTMANLANDS LÄN</t>
        </is>
      </c>
      <c r="E52" t="inlineStr">
        <is>
          <t>NORBERG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11099-2022</t>
        </is>
      </c>
      <c r="B53" s="1" t="n">
        <v>44628</v>
      </c>
      <c r="C53" s="1" t="n">
        <v>46191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21232-2024</t>
        </is>
      </c>
      <c r="B54" s="1" t="n">
        <v>45440</v>
      </c>
      <c r="C54" s="1" t="n">
        <v>46191</v>
      </c>
      <c r="D54" t="inlineStr">
        <is>
          <t>VÄSTMANLANDS LÄN</t>
        </is>
      </c>
      <c r="E54" t="inlineStr">
        <is>
          <t>NORBERG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46045-2023</t>
        </is>
      </c>
      <c r="B55" s="1" t="n">
        <v>45196</v>
      </c>
      <c r="C55" s="1" t="n">
        <v>46191</v>
      </c>
      <c r="D55" t="inlineStr">
        <is>
          <t>VÄSTMANLANDS LÄN</t>
        </is>
      </c>
      <c r="E55" t="inlineStr">
        <is>
          <t>NORBERG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60339-2025</t>
        </is>
      </c>
      <c r="B56" s="1" t="n">
        <v>45994</v>
      </c>
      <c r="C56" s="1" t="n">
        <v>46191</v>
      </c>
      <c r="D56" t="inlineStr">
        <is>
          <t>VÄSTMANLANDS LÄN</t>
        </is>
      </c>
      <c r="E56" t="inlineStr">
        <is>
          <t>NORBERG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27589-2024</t>
        </is>
      </c>
      <c r="B57" s="1" t="n">
        <v>45474</v>
      </c>
      <c r="C57" s="1" t="n">
        <v>46191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54306-2023</t>
        </is>
      </c>
      <c r="B58" s="1" t="n">
        <v>45232</v>
      </c>
      <c r="C58" s="1" t="n">
        <v>46191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18128-2024</t>
        </is>
      </c>
      <c r="B59" s="1" t="n">
        <v>45420</v>
      </c>
      <c r="C59" s="1" t="n">
        <v>46191</v>
      </c>
      <c r="D59" t="inlineStr">
        <is>
          <t>VÄSTMANLANDS LÄN</t>
        </is>
      </c>
      <c r="E59" t="inlineStr">
        <is>
          <t>NORBERG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59705-2024</t>
        </is>
      </c>
      <c r="B60" s="1" t="n">
        <v>45639</v>
      </c>
      <c r="C60" s="1" t="n">
        <v>46191</v>
      </c>
      <c r="D60" t="inlineStr">
        <is>
          <t>VÄSTMANLANDS LÄN</t>
        </is>
      </c>
      <c r="E60" t="inlineStr">
        <is>
          <t>NORBERG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49001-2025</t>
        </is>
      </c>
      <c r="B61" s="1" t="n">
        <v>45937</v>
      </c>
      <c r="C61" s="1" t="n">
        <v>46191</v>
      </c>
      <c r="D61" t="inlineStr">
        <is>
          <t>VÄSTMANLANDS LÄN</t>
        </is>
      </c>
      <c r="E61" t="inlineStr">
        <is>
          <t>NORBERG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48997-2025</t>
        </is>
      </c>
      <c r="B62" s="1" t="n">
        <v>45937</v>
      </c>
      <c r="C62" s="1" t="n">
        <v>46191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16503-2024</t>
        </is>
      </c>
      <c r="B63" s="1" t="n">
        <v>45408</v>
      </c>
      <c r="C63" s="1" t="n">
        <v>46191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6388-2025</t>
        </is>
      </c>
      <c r="B64" s="1" t="n">
        <v>45699</v>
      </c>
      <c r="C64" s="1" t="n">
        <v>46191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40153-2023</t>
        </is>
      </c>
      <c r="B65" s="1" t="n">
        <v>45169</v>
      </c>
      <c r="C65" s="1" t="n">
        <v>46191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13465-2026</t>
        </is>
      </c>
      <c r="B66" s="1" t="n">
        <v>46093</v>
      </c>
      <c r="C66" s="1" t="n">
        <v>46191</v>
      </c>
      <c r="D66" t="inlineStr">
        <is>
          <t>VÄSTMANLANDS LÄN</t>
        </is>
      </c>
      <c r="E66" t="inlineStr">
        <is>
          <t>NORBERG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13471-2026</t>
        </is>
      </c>
      <c r="B67" s="1" t="n">
        <v>46093</v>
      </c>
      <c r="C67" s="1" t="n">
        <v>46191</v>
      </c>
      <c r="D67" t="inlineStr">
        <is>
          <t>VÄSTMANLANDS LÄN</t>
        </is>
      </c>
      <c r="E67" t="inlineStr">
        <is>
          <t>NORBERG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37011-2023</t>
        </is>
      </c>
      <c r="B68" s="1" t="n">
        <v>45155</v>
      </c>
      <c r="C68" s="1" t="n">
        <v>46191</v>
      </c>
      <c r="D68" t="inlineStr">
        <is>
          <t>VÄSTMANLANDS LÄN</t>
        </is>
      </c>
      <c r="E68" t="inlineStr">
        <is>
          <t>NORBERG</t>
        </is>
      </c>
      <c r="F68" t="inlineStr">
        <is>
          <t>Övriga Aktiebolag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14234-2026</t>
        </is>
      </c>
      <c r="B69" s="1" t="n">
        <v>46099</v>
      </c>
      <c r="C69" s="1" t="n">
        <v>46191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3587-2024</t>
        </is>
      </c>
      <c r="B70" s="1" t="n">
        <v>45320</v>
      </c>
      <c r="C70" s="1" t="n">
        <v>46191</v>
      </c>
      <c r="D70" t="inlineStr">
        <is>
          <t>VÄSTMANLANDS LÄN</t>
        </is>
      </c>
      <c r="E70" t="inlineStr">
        <is>
          <t>NORBERG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3354-2025</t>
        </is>
      </c>
      <c r="B71" s="1" t="n">
        <v>45679</v>
      </c>
      <c r="C71" s="1" t="n">
        <v>46191</v>
      </c>
      <c r="D71" t="inlineStr">
        <is>
          <t>VÄSTMANLANDS LÄN</t>
        </is>
      </c>
      <c r="E71" t="inlineStr">
        <is>
          <t>NORBERG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15261-2026</t>
        </is>
      </c>
      <c r="B72" s="1" t="n">
        <v>46105</v>
      </c>
      <c r="C72" s="1" t="n">
        <v>46191</v>
      </c>
      <c r="D72" t="inlineStr">
        <is>
          <t>VÄSTMANLANDS LÄN</t>
        </is>
      </c>
      <c r="E72" t="inlineStr">
        <is>
          <t>NORBERG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15263-2026</t>
        </is>
      </c>
      <c r="B73" s="1" t="n">
        <v>46105</v>
      </c>
      <c r="C73" s="1" t="n">
        <v>46191</v>
      </c>
      <c r="D73" t="inlineStr">
        <is>
          <t>VÄSTMANLANDS LÄN</t>
        </is>
      </c>
      <c r="E73" t="inlineStr">
        <is>
          <t>NORBERG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15265-2026</t>
        </is>
      </c>
      <c r="B74" s="1" t="n">
        <v>46105</v>
      </c>
      <c r="C74" s="1" t="n">
        <v>46191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36905-2023</t>
        </is>
      </c>
      <c r="B75" s="1" t="n">
        <v>45154</v>
      </c>
      <c r="C75" s="1" t="n">
        <v>46191</v>
      </c>
      <c r="D75" t="inlineStr">
        <is>
          <t>VÄSTMANLANDS LÄN</t>
        </is>
      </c>
      <c r="E75" t="inlineStr">
        <is>
          <t>NORBERG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54670-2025</t>
        </is>
      </c>
      <c r="B76" s="1" t="n">
        <v>45966</v>
      </c>
      <c r="C76" s="1" t="n">
        <v>46191</v>
      </c>
      <c r="D76" t="inlineStr">
        <is>
          <t>VÄSTMANLANDS LÄN</t>
        </is>
      </c>
      <c r="E76" t="inlineStr">
        <is>
          <t>NORBERG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18673-2022</t>
        </is>
      </c>
      <c r="B77" s="1" t="n">
        <v>44687</v>
      </c>
      <c r="C77" s="1" t="n">
        <v>46191</v>
      </c>
      <c r="D77" t="inlineStr">
        <is>
          <t>VÄSTMANLANDS LÄN</t>
        </is>
      </c>
      <c r="E77" t="inlineStr">
        <is>
          <t>NORBERG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53030-2023</t>
        </is>
      </c>
      <c r="B78" s="1" t="n">
        <v>45226</v>
      </c>
      <c r="C78" s="1" t="n">
        <v>46191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12526-2025</t>
        </is>
      </c>
      <c r="B79" s="1" t="n">
        <v>45730</v>
      </c>
      <c r="C79" s="1" t="n">
        <v>46191</v>
      </c>
      <c r="D79" t="inlineStr">
        <is>
          <t>VÄSTMANLANDS LÄN</t>
        </is>
      </c>
      <c r="E79" t="inlineStr">
        <is>
          <t>NORBERG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21984-2026</t>
        </is>
      </c>
      <c r="B80" s="1" t="n">
        <v>46153</v>
      </c>
      <c r="C80" s="1" t="n">
        <v>46191</v>
      </c>
      <c r="D80" t="inlineStr">
        <is>
          <t>VÄSTMANLANDS LÄN</t>
        </is>
      </c>
      <c r="E80" t="inlineStr">
        <is>
          <t>NORBERG</t>
        </is>
      </c>
      <c r="F80" t="inlineStr">
        <is>
          <t>Övriga Aktiebolag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21973-2026</t>
        </is>
      </c>
      <c r="B81" s="1" t="n">
        <v>46153</v>
      </c>
      <c r="C81" s="1" t="n">
        <v>46191</v>
      </c>
      <c r="D81" t="inlineStr">
        <is>
          <t>VÄSTMANLANDS LÄN</t>
        </is>
      </c>
      <c r="E81" t="inlineStr">
        <is>
          <t>NORBERG</t>
        </is>
      </c>
      <c r="F81" t="inlineStr">
        <is>
          <t>Bergvik skog väst AB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22092-2026</t>
        </is>
      </c>
      <c r="B82" s="1" t="n">
        <v>46149</v>
      </c>
      <c r="C82" s="1" t="n">
        <v>46191</v>
      </c>
      <c r="D82" t="inlineStr">
        <is>
          <t>VÄSTMANLANDS LÄN</t>
        </is>
      </c>
      <c r="E82" t="inlineStr">
        <is>
          <t>NORBERG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21976-2026</t>
        </is>
      </c>
      <c r="B83" s="1" t="n">
        <v>46153</v>
      </c>
      <c r="C83" s="1" t="n">
        <v>46191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21983-2026</t>
        </is>
      </c>
      <c r="B84" s="1" t="n">
        <v>46153</v>
      </c>
      <c r="C84" s="1" t="n">
        <v>46191</v>
      </c>
      <c r="D84" t="inlineStr">
        <is>
          <t>VÄSTMANLANDS LÄN</t>
        </is>
      </c>
      <c r="E84" t="inlineStr">
        <is>
          <t>NORBERG</t>
        </is>
      </c>
      <c r="F84" t="inlineStr">
        <is>
          <t>Övriga Aktiebolag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15981-2026</t>
        </is>
      </c>
      <c r="B85" s="1" t="n">
        <v>46108</v>
      </c>
      <c r="C85" s="1" t="n">
        <v>46191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19254-2023</t>
        </is>
      </c>
      <c r="B86" s="1" t="n">
        <v>45049</v>
      </c>
      <c r="C86" s="1" t="n">
        <v>46191</v>
      </c>
      <c r="D86" t="inlineStr">
        <is>
          <t>VÄSTMANLANDS LÄN</t>
        </is>
      </c>
      <c r="E86" t="inlineStr">
        <is>
          <t>NORBERG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21987-2026</t>
        </is>
      </c>
      <c r="B87" s="1" t="n">
        <v>46153</v>
      </c>
      <c r="C87" s="1" t="n">
        <v>46191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21990-2026</t>
        </is>
      </c>
      <c r="B88" s="1" t="n">
        <v>46153</v>
      </c>
      <c r="C88" s="1" t="n">
        <v>46191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56400-2025</t>
        </is>
      </c>
      <c r="B89" s="1" t="n">
        <v>45974</v>
      </c>
      <c r="C89" s="1" t="n">
        <v>46191</v>
      </c>
      <c r="D89" t="inlineStr">
        <is>
          <t>VÄSTMANLANDS LÄN</t>
        </is>
      </c>
      <c r="E89" t="inlineStr">
        <is>
          <t>NORBERG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16383-2026</t>
        </is>
      </c>
      <c r="B90" s="1" t="n">
        <v>46111</v>
      </c>
      <c r="C90" s="1" t="n">
        <v>46191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16897-2026</t>
        </is>
      </c>
      <c r="B91" s="1" t="n">
        <v>46113</v>
      </c>
      <c r="C91" s="1" t="n">
        <v>46191</v>
      </c>
      <c r="D91" t="inlineStr">
        <is>
          <t>VÄSTMANLANDS LÄN</t>
        </is>
      </c>
      <c r="E91" t="inlineStr">
        <is>
          <t>NORBERG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56726-2025</t>
        </is>
      </c>
      <c r="B92" s="1" t="n">
        <v>45978</v>
      </c>
      <c r="C92" s="1" t="n">
        <v>46191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40144-2023</t>
        </is>
      </c>
      <c r="B93" s="1" t="n">
        <v>45169</v>
      </c>
      <c r="C93" s="1" t="n">
        <v>46191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57990-2024</t>
        </is>
      </c>
      <c r="B94" s="1" t="n">
        <v>45631</v>
      </c>
      <c r="C94" s="1" t="n">
        <v>46191</v>
      </c>
      <c r="D94" t="inlineStr">
        <is>
          <t>VÄSTMANLANDS LÄN</t>
        </is>
      </c>
      <c r="E94" t="inlineStr">
        <is>
          <t>NORBERG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17063-2026</t>
        </is>
      </c>
      <c r="B95" s="1" t="n">
        <v>46114</v>
      </c>
      <c r="C95" s="1" t="n">
        <v>46191</v>
      </c>
      <c r="D95" t="inlineStr">
        <is>
          <t>VÄSTMANLANDS LÄN</t>
        </is>
      </c>
      <c r="E95" t="inlineStr">
        <is>
          <t>NORBERG</t>
        </is>
      </c>
      <c r="F95" t="inlineStr">
        <is>
          <t>Sveaskog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63505-2023</t>
        </is>
      </c>
      <c r="B96" s="1" t="n">
        <v>45274</v>
      </c>
      <c r="C96" s="1" t="n">
        <v>46191</v>
      </c>
      <c r="D96" t="inlineStr">
        <is>
          <t>VÄSTMANLANDS LÄN</t>
        </is>
      </c>
      <c r="E96" t="inlineStr">
        <is>
          <t>NORBERG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19164-2025</t>
        </is>
      </c>
      <c r="B97" s="1" t="n">
        <v>45769</v>
      </c>
      <c r="C97" s="1" t="n">
        <v>46191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17318-2026</t>
        </is>
      </c>
      <c r="B98" s="1" t="n">
        <v>46119</v>
      </c>
      <c r="C98" s="1" t="n">
        <v>46191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19173-2025</t>
        </is>
      </c>
      <c r="B99" s="1" t="n">
        <v>45769</v>
      </c>
      <c r="C99" s="1" t="n">
        <v>46191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12796-2023</t>
        </is>
      </c>
      <c r="B100" s="1" t="n">
        <v>45001</v>
      </c>
      <c r="C100" s="1" t="n">
        <v>46191</v>
      </c>
      <c r="D100" t="inlineStr">
        <is>
          <t>VÄSTMANLANDS LÄN</t>
        </is>
      </c>
      <c r="E100" t="inlineStr">
        <is>
          <t>NORBERG</t>
        </is>
      </c>
      <c r="G100" t="n">
        <v>22.4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59527-2025</t>
        </is>
      </c>
      <c r="B101" s="1" t="n">
        <v>45989</v>
      </c>
      <c r="C101" s="1" t="n">
        <v>46191</v>
      </c>
      <c r="D101" t="inlineStr">
        <is>
          <t>VÄSTMANLANDS LÄN</t>
        </is>
      </c>
      <c r="E101" t="inlineStr">
        <is>
          <t>NORBERG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54143-2025</t>
        </is>
      </c>
      <c r="B102" s="1" t="n">
        <v>45964</v>
      </c>
      <c r="C102" s="1" t="n">
        <v>46191</v>
      </c>
      <c r="D102" t="inlineStr">
        <is>
          <t>VÄSTMANLANDS LÄN</t>
        </is>
      </c>
      <c r="E102" t="inlineStr">
        <is>
          <t>NORBERG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8746-2023</t>
        </is>
      </c>
      <c r="B103" s="1" t="n">
        <v>44973</v>
      </c>
      <c r="C103" s="1" t="n">
        <v>46191</v>
      </c>
      <c r="D103" t="inlineStr">
        <is>
          <t>VÄSTMANLANDS LÄN</t>
        </is>
      </c>
      <c r="E103" t="inlineStr">
        <is>
          <t>NORBERG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19253-2023</t>
        </is>
      </c>
      <c r="B104" s="1" t="n">
        <v>45049</v>
      </c>
      <c r="C104" s="1" t="n">
        <v>46191</v>
      </c>
      <c r="D104" t="inlineStr">
        <is>
          <t>VÄSTMANLANDS LÄN</t>
        </is>
      </c>
      <c r="E104" t="inlineStr">
        <is>
          <t>NORBERG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51778-2024</t>
        </is>
      </c>
      <c r="B105" s="1" t="n">
        <v>45607</v>
      </c>
      <c r="C105" s="1" t="n">
        <v>46191</v>
      </c>
      <c r="D105" t="inlineStr">
        <is>
          <t>VÄSTMANLANDS LÄN</t>
        </is>
      </c>
      <c r="E105" t="inlineStr">
        <is>
          <t>NORBERG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46865-2023</t>
        </is>
      </c>
      <c r="B106" s="1" t="n">
        <v>45200</v>
      </c>
      <c r="C106" s="1" t="n">
        <v>46191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62155-2025</t>
        </is>
      </c>
      <c r="B107" s="1" t="n">
        <v>46006</v>
      </c>
      <c r="C107" s="1" t="n">
        <v>46191</v>
      </c>
      <c r="D107" t="inlineStr">
        <is>
          <t>VÄSTMANLANDS LÄN</t>
        </is>
      </c>
      <c r="E107" t="inlineStr">
        <is>
          <t>NORBERG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25331-2026</t>
        </is>
      </c>
      <c r="B108" s="1" t="n">
        <v>46176</v>
      </c>
      <c r="C108" s="1" t="n">
        <v>46191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39255-2024</t>
        </is>
      </c>
      <c r="B109" s="1" t="n">
        <v>45551</v>
      </c>
      <c r="C109" s="1" t="n">
        <v>46191</v>
      </c>
      <c r="D109" t="inlineStr">
        <is>
          <t>VÄSTMANLANDS LÄN</t>
        </is>
      </c>
      <c r="E109" t="inlineStr">
        <is>
          <t>NORBERG</t>
        </is>
      </c>
      <c r="F109" t="inlineStr">
        <is>
          <t>Bergvik skog väst AB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41448-2024</t>
        </is>
      </c>
      <c r="B110" s="1" t="n">
        <v>45560</v>
      </c>
      <c r="C110" s="1" t="n">
        <v>46191</v>
      </c>
      <c r="D110" t="inlineStr">
        <is>
          <t>VÄSTMANLANDS LÄN</t>
        </is>
      </c>
      <c r="E110" t="inlineStr">
        <is>
          <t>NORBERG</t>
        </is>
      </c>
      <c r="F110" t="inlineStr">
        <is>
          <t>Bergvik skog väst AB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62883-2025</t>
        </is>
      </c>
      <c r="B111" s="1" t="n">
        <v>46008</v>
      </c>
      <c r="C111" s="1" t="n">
        <v>46191</v>
      </c>
      <c r="D111" t="inlineStr">
        <is>
          <t>VÄSTMANLANDS LÄN</t>
        </is>
      </c>
      <c r="E111" t="inlineStr">
        <is>
          <t>NORBERG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62882-2025</t>
        </is>
      </c>
      <c r="B112" s="1" t="n">
        <v>46008</v>
      </c>
      <c r="C112" s="1" t="n">
        <v>46191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62881-2025</t>
        </is>
      </c>
      <c r="B113" s="1" t="n">
        <v>46008</v>
      </c>
      <c r="C113" s="1" t="n">
        <v>46191</v>
      </c>
      <c r="D113" t="inlineStr">
        <is>
          <t>VÄSTMANLANDS LÄN</t>
        </is>
      </c>
      <c r="E113" t="inlineStr">
        <is>
          <t>NORBERG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56-2026</t>
        </is>
      </c>
      <c r="B114" s="1" t="n">
        <v>46014</v>
      </c>
      <c r="C114" s="1" t="n">
        <v>46191</v>
      </c>
      <c r="D114" t="inlineStr">
        <is>
          <t>VÄSTMANLANDS LÄN</t>
        </is>
      </c>
      <c r="E114" t="inlineStr">
        <is>
          <t>NORBERG</t>
        </is>
      </c>
      <c r="G114" t="n">
        <v>22.8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62-2026</t>
        </is>
      </c>
      <c r="B115" s="1" t="n">
        <v>46014</v>
      </c>
      <c r="C115" s="1" t="n">
        <v>46191</v>
      </c>
      <c r="D115" t="inlineStr">
        <is>
          <t>VÄSTMANLANDS LÄN</t>
        </is>
      </c>
      <c r="E115" t="inlineStr">
        <is>
          <t>NORBERG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63907-2025</t>
        </is>
      </c>
      <c r="B116" s="1" t="n">
        <v>46020</v>
      </c>
      <c r="C116" s="1" t="n">
        <v>46191</v>
      </c>
      <c r="D116" t="inlineStr">
        <is>
          <t>VÄSTMANLANDS LÄN</t>
        </is>
      </c>
      <c r="E116" t="inlineStr">
        <is>
          <t>NORBERG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25477-2023</t>
        </is>
      </c>
      <c r="B117" s="1" t="n">
        <v>45089</v>
      </c>
      <c r="C117" s="1" t="n">
        <v>46191</v>
      </c>
      <c r="D117" t="inlineStr">
        <is>
          <t>VÄSTMANLANDS LÄN</t>
        </is>
      </c>
      <c r="E117" t="inlineStr">
        <is>
          <t>NORBERG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20381-2023</t>
        </is>
      </c>
      <c r="B118" s="1" t="n">
        <v>45056</v>
      </c>
      <c r="C118" s="1" t="n">
        <v>46191</v>
      </c>
      <c r="D118" t="inlineStr">
        <is>
          <t>VÄSTMANLANDS LÄN</t>
        </is>
      </c>
      <c r="E118" t="inlineStr">
        <is>
          <t>NORBERG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20378-2023</t>
        </is>
      </c>
      <c r="B119" s="1" t="n">
        <v>45056</v>
      </c>
      <c r="C119" s="1" t="n">
        <v>46191</v>
      </c>
      <c r="D119" t="inlineStr">
        <is>
          <t>VÄSTMANLANDS LÄN</t>
        </is>
      </c>
      <c r="E119" t="inlineStr">
        <is>
          <t>NORBERG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16629-2024</t>
        </is>
      </c>
      <c r="B120" s="1" t="n">
        <v>45408</v>
      </c>
      <c r="C120" s="1" t="n">
        <v>46191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26072-2023</t>
        </is>
      </c>
      <c r="B121" s="1" t="n">
        <v>45091</v>
      </c>
      <c r="C121" s="1" t="n">
        <v>46191</v>
      </c>
      <c r="D121" t="inlineStr">
        <is>
          <t>VÄSTMANLANDS LÄN</t>
        </is>
      </c>
      <c r="E121" t="inlineStr">
        <is>
          <t>NORBERG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54573-2023</t>
        </is>
      </c>
      <c r="B122" s="1" t="n">
        <v>45233</v>
      </c>
      <c r="C122" s="1" t="n">
        <v>46191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23702-2024</t>
        </is>
      </c>
      <c r="B123" s="1" t="n">
        <v>45454</v>
      </c>
      <c r="C123" s="1" t="n">
        <v>46191</v>
      </c>
      <c r="D123" t="inlineStr">
        <is>
          <t>VÄSTMANLANDS LÄN</t>
        </is>
      </c>
      <c r="E123" t="inlineStr">
        <is>
          <t>NORBERG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23705-2024</t>
        </is>
      </c>
      <c r="B124" s="1" t="n">
        <v>45454</v>
      </c>
      <c r="C124" s="1" t="n">
        <v>46191</v>
      </c>
      <c r="D124" t="inlineStr">
        <is>
          <t>VÄSTMANLANDS LÄN</t>
        </is>
      </c>
      <c r="E124" t="inlineStr">
        <is>
          <t>NORBERG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16042-2024</t>
        </is>
      </c>
      <c r="B125" s="1" t="n">
        <v>45405</v>
      </c>
      <c r="C125" s="1" t="n">
        <v>46191</v>
      </c>
      <c r="D125" t="inlineStr">
        <is>
          <t>VÄSTMANLANDS LÄN</t>
        </is>
      </c>
      <c r="E125" t="inlineStr">
        <is>
          <t>NORBERG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56940-2021</t>
        </is>
      </c>
      <c r="B126" s="1" t="n">
        <v>44480</v>
      </c>
      <c r="C126" s="1" t="n">
        <v>46191</v>
      </c>
      <c r="D126" t="inlineStr">
        <is>
          <t>VÄSTMANLANDS LÄN</t>
        </is>
      </c>
      <c r="E126" t="inlineStr">
        <is>
          <t>NORBERG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63777-2025</t>
        </is>
      </c>
      <c r="B127" s="1" t="n">
        <v>46019</v>
      </c>
      <c r="C127" s="1" t="n">
        <v>46191</v>
      </c>
      <c r="D127" t="inlineStr">
        <is>
          <t>VÄSTMANLANDS LÄN</t>
        </is>
      </c>
      <c r="E127" t="inlineStr">
        <is>
          <t>NORBERG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40232-2024</t>
        </is>
      </c>
      <c r="B128" s="1" t="n">
        <v>45554</v>
      </c>
      <c r="C128" s="1" t="n">
        <v>46191</v>
      </c>
      <c r="D128" t="inlineStr">
        <is>
          <t>VÄSTMANLANDS LÄN</t>
        </is>
      </c>
      <c r="E128" t="inlineStr">
        <is>
          <t>NORBERG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37200-2023</t>
        </is>
      </c>
      <c r="B129" s="1" t="n">
        <v>45155</v>
      </c>
      <c r="C129" s="1" t="n">
        <v>46191</v>
      </c>
      <c r="D129" t="inlineStr">
        <is>
          <t>VÄSTMANLANDS LÄN</t>
        </is>
      </c>
      <c r="E129" t="inlineStr">
        <is>
          <t>NORBERG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24540-2022</t>
        </is>
      </c>
      <c r="B130" s="1" t="n">
        <v>44727</v>
      </c>
      <c r="C130" s="1" t="n">
        <v>46191</v>
      </c>
      <c r="D130" t="inlineStr">
        <is>
          <t>VÄSTMANLANDS LÄN</t>
        </is>
      </c>
      <c r="E130" t="inlineStr">
        <is>
          <t>NORBERG</t>
        </is>
      </c>
      <c r="F130" t="inlineStr">
        <is>
          <t>Bergvik skog väst AB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20407-2026</t>
        </is>
      </c>
      <c r="B131" s="1" t="n">
        <v>46139</v>
      </c>
      <c r="C131" s="1" t="n">
        <v>46191</v>
      </c>
      <c r="D131" t="inlineStr">
        <is>
          <t>VÄSTMANLANDS LÄN</t>
        </is>
      </c>
      <c r="E131" t="inlineStr">
        <is>
          <t>NORBERG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40140-2023</t>
        </is>
      </c>
      <c r="B132" s="1" t="n">
        <v>45169</v>
      </c>
      <c r="C132" s="1" t="n">
        <v>46191</v>
      </c>
      <c r="D132" t="inlineStr">
        <is>
          <t>VÄSTMANLANDS LÄN</t>
        </is>
      </c>
      <c r="E132" t="inlineStr">
        <is>
          <t>NORBERG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7744-2023</t>
        </is>
      </c>
      <c r="B133" s="1" t="n">
        <v>44973</v>
      </c>
      <c r="C133" s="1" t="n">
        <v>46191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47753-2024</t>
        </is>
      </c>
      <c r="B134" s="1" t="n">
        <v>45588</v>
      </c>
      <c r="C134" s="1" t="n">
        <v>46191</v>
      </c>
      <c r="D134" t="inlineStr">
        <is>
          <t>VÄSTMANLANDS LÄN</t>
        </is>
      </c>
      <c r="E134" t="inlineStr">
        <is>
          <t>NORBERG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50005-2024</t>
        </is>
      </c>
      <c r="B135" s="1" t="n">
        <v>45598</v>
      </c>
      <c r="C135" s="1" t="n">
        <v>46191</v>
      </c>
      <c r="D135" t="inlineStr">
        <is>
          <t>VÄSTMANLANDS LÄN</t>
        </is>
      </c>
      <c r="E135" t="inlineStr">
        <is>
          <t>NORBERG</t>
        </is>
      </c>
      <c r="F135" t="inlineStr">
        <is>
          <t>Sveaskog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42198-2023</t>
        </is>
      </c>
      <c r="B136" s="1" t="n">
        <v>45179</v>
      </c>
      <c r="C136" s="1" t="n">
        <v>46191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51790-2024</t>
        </is>
      </c>
      <c r="B137" s="1" t="n">
        <v>45607</v>
      </c>
      <c r="C137" s="1" t="n">
        <v>46191</v>
      </c>
      <c r="D137" t="inlineStr">
        <is>
          <t>VÄSTMANLANDS LÄN</t>
        </is>
      </c>
      <c r="E137" t="inlineStr">
        <is>
          <t>NORBERG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19377-2025</t>
        </is>
      </c>
      <c r="B138" s="1" t="n">
        <v>45769</v>
      </c>
      <c r="C138" s="1" t="n">
        <v>46191</v>
      </c>
      <c r="D138" t="inlineStr">
        <is>
          <t>VÄSTMANLANDS LÄN</t>
        </is>
      </c>
      <c r="E138" t="inlineStr">
        <is>
          <t>NORBERG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3131-2024</t>
        </is>
      </c>
      <c r="B139" s="1" t="n">
        <v>45316</v>
      </c>
      <c r="C139" s="1" t="n">
        <v>46191</v>
      </c>
      <c r="D139" t="inlineStr">
        <is>
          <t>VÄSTMANLANDS LÄN</t>
        </is>
      </c>
      <c r="E139" t="inlineStr">
        <is>
          <t>NORBERG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43073-2024</t>
        </is>
      </c>
      <c r="B140" s="1" t="n">
        <v>45567</v>
      </c>
      <c r="C140" s="1" t="n">
        <v>46191</v>
      </c>
      <c r="D140" t="inlineStr">
        <is>
          <t>VÄSTMANLANDS LÄN</t>
        </is>
      </c>
      <c r="E140" t="inlineStr">
        <is>
          <t>NORBERG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20968-2026</t>
        </is>
      </c>
      <c r="B141" s="1" t="n">
        <v>46142</v>
      </c>
      <c r="C141" s="1" t="n">
        <v>46191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58616-2024</t>
        </is>
      </c>
      <c r="B142" s="1" t="n">
        <v>45632</v>
      </c>
      <c r="C142" s="1" t="n">
        <v>46191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19075-2022</t>
        </is>
      </c>
      <c r="B143" s="1" t="n">
        <v>44691</v>
      </c>
      <c r="C143" s="1" t="n">
        <v>46191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12110-2025</t>
        </is>
      </c>
      <c r="B144" s="1" t="n">
        <v>45729</v>
      </c>
      <c r="C144" s="1" t="n">
        <v>46191</v>
      </c>
      <c r="D144" t="inlineStr">
        <is>
          <t>VÄSTMANLANDS LÄN</t>
        </is>
      </c>
      <c r="E144" t="inlineStr">
        <is>
          <t>NORBERG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47029-2024</t>
        </is>
      </c>
      <c r="B145" s="1" t="n">
        <v>45586</v>
      </c>
      <c r="C145" s="1" t="n">
        <v>46191</v>
      </c>
      <c r="D145" t="inlineStr">
        <is>
          <t>VÄSTMANLANDS LÄN</t>
        </is>
      </c>
      <c r="E145" t="inlineStr">
        <is>
          <t>NORBERG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53224-2024</t>
        </is>
      </c>
      <c r="B146" s="1" t="n">
        <v>45613</v>
      </c>
      <c r="C146" s="1" t="n">
        <v>46191</v>
      </c>
      <c r="D146" t="inlineStr">
        <is>
          <t>VÄSTMANLANDS LÄN</t>
        </is>
      </c>
      <c r="E146" t="inlineStr">
        <is>
          <t>NORBERG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49763-2024</t>
        </is>
      </c>
      <c r="B147" s="1" t="n">
        <v>45597</v>
      </c>
      <c r="C147" s="1" t="n">
        <v>46191</v>
      </c>
      <c r="D147" t="inlineStr">
        <is>
          <t>VÄSTMANLANDS LÄN</t>
        </is>
      </c>
      <c r="E147" t="inlineStr">
        <is>
          <t>NORBERG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17075-2023</t>
        </is>
      </c>
      <c r="B148" s="1" t="n">
        <v>45034</v>
      </c>
      <c r="C148" s="1" t="n">
        <v>46191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21218-2026</t>
        </is>
      </c>
      <c r="B149" s="1" t="n">
        <v>46146</v>
      </c>
      <c r="C149" s="1" t="n">
        <v>46191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51793-2024</t>
        </is>
      </c>
      <c r="B150" s="1" t="n">
        <v>45607</v>
      </c>
      <c r="C150" s="1" t="n">
        <v>46191</v>
      </c>
      <c r="D150" t="inlineStr">
        <is>
          <t>VÄSTMANLANDS LÄN</t>
        </is>
      </c>
      <c r="E150" t="inlineStr">
        <is>
          <t>NORBERG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11099-2023</t>
        </is>
      </c>
      <c r="B151" s="1" t="n">
        <v>44992</v>
      </c>
      <c r="C151" s="1" t="n">
        <v>46191</v>
      </c>
      <c r="D151" t="inlineStr">
        <is>
          <t>VÄSTMANLANDS LÄN</t>
        </is>
      </c>
      <c r="E151" t="inlineStr">
        <is>
          <t>NORBERG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9907-2024</t>
        </is>
      </c>
      <c r="B152" s="1" t="n">
        <v>45363</v>
      </c>
      <c r="C152" s="1" t="n">
        <v>46191</v>
      </c>
      <c r="D152" t="inlineStr">
        <is>
          <t>VÄSTMANLANDS LÄN</t>
        </is>
      </c>
      <c r="E152" t="inlineStr">
        <is>
          <t>NORBERG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21526-2026</t>
        </is>
      </c>
      <c r="B153" s="1" t="n">
        <v>46148</v>
      </c>
      <c r="C153" s="1" t="n">
        <v>46191</v>
      </c>
      <c r="D153" t="inlineStr">
        <is>
          <t>VÄSTMANLANDS LÄN</t>
        </is>
      </c>
      <c r="E153" t="inlineStr">
        <is>
          <t>NORBERG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27716-2026</t>
        </is>
      </c>
      <c r="B154" s="1" t="n">
        <v>46190</v>
      </c>
      <c r="C154" s="1" t="n">
        <v>46191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21504-2026</t>
        </is>
      </c>
      <c r="B155" s="1" t="n">
        <v>46148</v>
      </c>
      <c r="C155" s="1" t="n">
        <v>46191</v>
      </c>
      <c r="D155" t="inlineStr">
        <is>
          <t>VÄSTMANLANDS LÄN</t>
        </is>
      </c>
      <c r="E155" t="inlineStr">
        <is>
          <t>NORBERG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27475-2026</t>
        </is>
      </c>
      <c r="B156" s="1" t="n">
        <v>46189</v>
      </c>
      <c r="C156" s="1" t="n">
        <v>46191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27473-2026</t>
        </is>
      </c>
      <c r="B157" s="1" t="n">
        <v>46189</v>
      </c>
      <c r="C157" s="1" t="n">
        <v>46191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13.7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45065-2023</t>
        </is>
      </c>
      <c r="B158" s="1" t="n">
        <v>45191</v>
      </c>
      <c r="C158" s="1" t="n">
        <v>46191</v>
      </c>
      <c r="D158" t="inlineStr">
        <is>
          <t>VÄSTMANLANDS LÄN</t>
        </is>
      </c>
      <c r="E158" t="inlineStr">
        <is>
          <t>NORBERG</t>
        </is>
      </c>
      <c r="F158" t="inlineStr">
        <is>
          <t>Bergvik skog väst AB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15810-2025</t>
        </is>
      </c>
      <c r="B159" s="1" t="n">
        <v>45748</v>
      </c>
      <c r="C159" s="1" t="n">
        <v>46191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46041-2023</t>
        </is>
      </c>
      <c r="B160" s="1" t="n">
        <v>45196</v>
      </c>
      <c r="C160" s="1" t="n">
        <v>46191</v>
      </c>
      <c r="D160" t="inlineStr">
        <is>
          <t>VÄSTMANLANDS LÄN</t>
        </is>
      </c>
      <c r="E160" t="inlineStr">
        <is>
          <t>NORBERG</t>
        </is>
      </c>
      <c r="F160" t="inlineStr">
        <is>
          <t>Bergvik skog väst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13654-2024</t>
        </is>
      </c>
      <c r="B161" s="1" t="n">
        <v>45390</v>
      </c>
      <c r="C161" s="1" t="n">
        <v>46191</v>
      </c>
      <c r="D161" t="inlineStr">
        <is>
          <t>VÄSTMANLANDS LÄN</t>
        </is>
      </c>
      <c r="E161" t="inlineStr">
        <is>
          <t>NORBERG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14181-2025</t>
        </is>
      </c>
      <c r="B162" s="1" t="n">
        <v>45740</v>
      </c>
      <c r="C162" s="1" t="n">
        <v>46191</v>
      </c>
      <c r="D162" t="inlineStr">
        <is>
          <t>VÄSTMANLANDS LÄN</t>
        </is>
      </c>
      <c r="E162" t="inlineStr">
        <is>
          <t>NORBERG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23418-2025</t>
        </is>
      </c>
      <c r="B163" s="1" t="n">
        <v>45792</v>
      </c>
      <c r="C163" s="1" t="n">
        <v>46191</v>
      </c>
      <c r="D163" t="inlineStr">
        <is>
          <t>VÄSTMANLANDS LÄN</t>
        </is>
      </c>
      <c r="E163" t="inlineStr">
        <is>
          <t>NORBERG</t>
        </is>
      </c>
      <c r="F163" t="inlineStr">
        <is>
          <t>Övriga Aktiebolag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23433-2025</t>
        </is>
      </c>
      <c r="B164" s="1" t="n">
        <v>45792</v>
      </c>
      <c r="C164" s="1" t="n">
        <v>46191</v>
      </c>
      <c r="D164" t="inlineStr">
        <is>
          <t>VÄSTMANLANDS LÄN</t>
        </is>
      </c>
      <c r="E164" t="inlineStr">
        <is>
          <t>NORBERG</t>
        </is>
      </c>
      <c r="F164" t="inlineStr">
        <is>
          <t>Övriga Aktiebolag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57993-2024</t>
        </is>
      </c>
      <c r="B165" s="1" t="n">
        <v>45631</v>
      </c>
      <c r="C165" s="1" t="n">
        <v>46191</v>
      </c>
      <c r="D165" t="inlineStr">
        <is>
          <t>VÄSTMANLANDS LÄN</t>
        </is>
      </c>
      <c r="E165" t="inlineStr">
        <is>
          <t>NORBERG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63495-2023</t>
        </is>
      </c>
      <c r="B166" s="1" t="n">
        <v>45274</v>
      </c>
      <c r="C166" s="1" t="n">
        <v>46191</v>
      </c>
      <c r="D166" t="inlineStr">
        <is>
          <t>VÄSTMANLANDS LÄN</t>
        </is>
      </c>
      <c r="E166" t="inlineStr">
        <is>
          <t>NORBERG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40154-2023</t>
        </is>
      </c>
      <c r="B167" s="1" t="n">
        <v>45169</v>
      </c>
      <c r="C167" s="1" t="n">
        <v>46191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45290-2024</t>
        </is>
      </c>
      <c r="B168" s="1" t="n">
        <v>45576</v>
      </c>
      <c r="C168" s="1" t="n">
        <v>46191</v>
      </c>
      <c r="D168" t="inlineStr">
        <is>
          <t>VÄSTMANLANDS LÄN</t>
        </is>
      </c>
      <c r="E168" t="inlineStr">
        <is>
          <t>NORBERG</t>
        </is>
      </c>
      <c r="F168" t="inlineStr">
        <is>
          <t>Övriga Aktiebolag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7417-2025</t>
        </is>
      </c>
      <c r="B169" s="1" t="n">
        <v>45705</v>
      </c>
      <c r="C169" s="1" t="n">
        <v>46191</v>
      </c>
      <c r="D169" t="inlineStr">
        <is>
          <t>VÄSTMANLANDS LÄN</t>
        </is>
      </c>
      <c r="E169" t="inlineStr">
        <is>
          <t>NORBERG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73797-2021</t>
        </is>
      </c>
      <c r="B170" s="1" t="n">
        <v>44552</v>
      </c>
      <c r="C170" s="1" t="n">
        <v>46191</v>
      </c>
      <c r="D170" t="inlineStr">
        <is>
          <t>VÄSTMANLANDS LÄN</t>
        </is>
      </c>
      <c r="E170" t="inlineStr">
        <is>
          <t>NORBERG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37198-2023</t>
        </is>
      </c>
      <c r="B171" s="1" t="n">
        <v>45155</v>
      </c>
      <c r="C171" s="1" t="n">
        <v>46191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46864-2023</t>
        </is>
      </c>
      <c r="B172" s="1" t="n">
        <v>45200</v>
      </c>
      <c r="C172" s="1" t="n">
        <v>46191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18960-2025</t>
        </is>
      </c>
      <c r="B173" s="1" t="n">
        <v>45764</v>
      </c>
      <c r="C173" s="1" t="n">
        <v>46191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27580-2024</t>
        </is>
      </c>
      <c r="B174" s="1" t="n">
        <v>45474</v>
      </c>
      <c r="C174" s="1" t="n">
        <v>46191</v>
      </c>
      <c r="D174" t="inlineStr">
        <is>
          <t>VÄSTMANLANDS LÄN</t>
        </is>
      </c>
      <c r="E174" t="inlineStr">
        <is>
          <t>NORBERG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29620-2025</t>
        </is>
      </c>
      <c r="B175" s="1" t="n">
        <v>45825</v>
      </c>
      <c r="C175" s="1" t="n">
        <v>46191</v>
      </c>
      <c r="D175" t="inlineStr">
        <is>
          <t>VÄSTMANLANDS LÄN</t>
        </is>
      </c>
      <c r="E175" t="inlineStr">
        <is>
          <t>NORBERG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30211-2025</t>
        </is>
      </c>
      <c r="B176" s="1" t="n">
        <v>45827</v>
      </c>
      <c r="C176" s="1" t="n">
        <v>46191</v>
      </c>
      <c r="D176" t="inlineStr">
        <is>
          <t>VÄSTMANLANDS LÄN</t>
        </is>
      </c>
      <c r="E176" t="inlineStr">
        <is>
          <t>NORBERG</t>
        </is>
      </c>
      <c r="F176" t="inlineStr">
        <is>
          <t>Övriga Aktiebolag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28589-2023</t>
        </is>
      </c>
      <c r="B177" s="1" t="n">
        <v>45103</v>
      </c>
      <c r="C177" s="1" t="n">
        <v>46191</v>
      </c>
      <c r="D177" t="inlineStr">
        <is>
          <t>VÄSTMANLANDS LÄN</t>
        </is>
      </c>
      <c r="E177" t="inlineStr">
        <is>
          <t>NORBERG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36443-2024</t>
        </is>
      </c>
      <c r="B178" s="1" t="n">
        <v>45537</v>
      </c>
      <c r="C178" s="1" t="n">
        <v>46191</v>
      </c>
      <c r="D178" t="inlineStr">
        <is>
          <t>VÄSTMANLANDS LÄN</t>
        </is>
      </c>
      <c r="E178" t="inlineStr">
        <is>
          <t>NORBERG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39837-2024</t>
        </is>
      </c>
      <c r="B179" s="1" t="n">
        <v>45553</v>
      </c>
      <c r="C179" s="1" t="n">
        <v>46191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47610-2022</t>
        </is>
      </c>
      <c r="B180" s="1" t="n">
        <v>44852</v>
      </c>
      <c r="C180" s="1" t="n">
        <v>46191</v>
      </c>
      <c r="D180" t="inlineStr">
        <is>
          <t>VÄSTMANLANDS LÄN</t>
        </is>
      </c>
      <c r="E180" t="inlineStr">
        <is>
          <t>NORBERG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45066-2023</t>
        </is>
      </c>
      <c r="B181" s="1" t="n">
        <v>45191</v>
      </c>
      <c r="C181" s="1" t="n">
        <v>46191</v>
      </c>
      <c r="D181" t="inlineStr">
        <is>
          <t>VÄSTMANLANDS LÄN</t>
        </is>
      </c>
      <c r="E181" t="inlineStr">
        <is>
          <t>NORBERG</t>
        </is>
      </c>
      <c r="F181" t="inlineStr">
        <is>
          <t>Bergvik skog väst AB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25540-2023</t>
        </is>
      </c>
      <c r="B182" s="1" t="n">
        <v>45089</v>
      </c>
      <c r="C182" s="1" t="n">
        <v>46191</v>
      </c>
      <c r="D182" t="inlineStr">
        <is>
          <t>VÄSTMANLANDS LÄN</t>
        </is>
      </c>
      <c r="E182" t="inlineStr">
        <is>
          <t>NORBERG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38018-2025</t>
        </is>
      </c>
      <c r="B183" s="1" t="n">
        <v>45882</v>
      </c>
      <c r="C183" s="1" t="n">
        <v>46191</v>
      </c>
      <c r="D183" t="inlineStr">
        <is>
          <t>VÄSTMANLANDS LÄN</t>
        </is>
      </c>
      <c r="E183" t="inlineStr">
        <is>
          <t>NORBERG</t>
        </is>
      </c>
      <c r="F183" t="inlineStr">
        <is>
          <t>Övriga Aktiebolag</t>
        </is>
      </c>
      <c r="G183" t="n">
        <v>15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38019-2025</t>
        </is>
      </c>
      <c r="B184" s="1" t="n">
        <v>45882</v>
      </c>
      <c r="C184" s="1" t="n">
        <v>46191</v>
      </c>
      <c r="D184" t="inlineStr">
        <is>
          <t>VÄSTMANLANDS LÄN</t>
        </is>
      </c>
      <c r="E184" t="inlineStr">
        <is>
          <t>NORBERG</t>
        </is>
      </c>
      <c r="F184" t="inlineStr">
        <is>
          <t>Övriga Aktiebolag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11664-2023</t>
        </is>
      </c>
      <c r="B185" s="1" t="n">
        <v>44992</v>
      </c>
      <c r="C185" s="1" t="n">
        <v>46191</v>
      </c>
      <c r="D185" t="inlineStr">
        <is>
          <t>VÄSTMANLANDS LÄN</t>
        </is>
      </c>
      <c r="E185" t="inlineStr">
        <is>
          <t>NORBERG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2026-06-18T13:20:50Z</dcterms:created>
  <dcterms:modified xmlns:dcterms="http://purl.org/dc/terms/" xmlns:xsi="http://www.w3.org/2001/XMLSchema-instance" xsi:type="dcterms:W3CDTF">2026-06-18T13:20:50Z</dcterms:modified>
</cp:coreProperties>
</file>