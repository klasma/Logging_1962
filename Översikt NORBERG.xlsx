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46242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46242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46242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46242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46242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46242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46242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46242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46242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46242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46242</v>
      </c>
      <c r="F12" t="inlineStr">
        <is>
          <t>VÄSTMANLANDS LÄN</t>
        </is>
      </c>
      <c r="G12" t="inlineStr">
        <is>
          <t>NORBERG</t>
        </is>
      </c>
      <c r="I12" t="n">
        <v>0.4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61099-2024 artfynd.xlsx", "A 61099-2024")</f>
        <v/>
      </c>
      <c r="X12">
        <f>HYPERLINK("https://klasma.github.io/Logging_1962/kartor/A 61099-2024 karta.png", "A 61099-2024")</f>
        <v/>
      </c>
      <c r="Y12">
        <f>HYPERLINK("https://klasma.github.io/Logging_1962/kartor_geotiff/A 61099-2024 georefererad karta.tif", "A 61099-2024")</f>
        <v/>
      </c>
      <c r="AA12">
        <f>HYPERLINK("https://klasma.github.io/Logging_1962/klagomål/A 61099-2024 FSC-klagomål.docx", "A 61099-2024")</f>
        <v/>
      </c>
      <c r="AB12">
        <f>HYPERLINK("https://klasma.github.io/Logging_1962/klagomålsmail/A 61099-2024 FSC-klagomål mail.docx", "A 61099-2024")</f>
        <v/>
      </c>
      <c r="AC12">
        <f>HYPERLINK("https://klasma.github.io/Logging_1962/tillsyn/A 61099-2024 tillsynsbegäran.docx", "A 61099-2024")</f>
        <v/>
      </c>
      <c r="AD12">
        <f>HYPERLINK("https://klasma.github.io/Logging_1962/tillsynsmail/A 61099-2024 tillsynsbegäran mail.docx", "A 61099-2024")</f>
        <v/>
      </c>
    </row>
    <row r="13" ht="15" customHeight="1">
      <c r="A13" t="inlineStr">
        <is>
          <t>A 34967-2023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45142</v>
      </c>
      <c r="E13" s="1" t="n">
        <v>46242</v>
      </c>
      <c r="F13" t="inlineStr">
        <is>
          <t>VÄSTMANLANDS LÄN</t>
        </is>
      </c>
      <c r="G13" t="inlineStr">
        <is>
          <t>NORBERG</t>
        </is>
      </c>
      <c r="H13" t="inlineStr">
        <is>
          <t>Kyrkan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Skogsklocka</t>
        </is>
      </c>
      <c r="W13">
        <f>HYPERLINK("https://klasma.github.io/Logging_1962/artfynd/A 34967-2023 artfynd.xlsx", "A 34967-2023")</f>
        <v/>
      </c>
      <c r="X13">
        <f>HYPERLINK("https://klasma.github.io/Logging_1962/kartor/A 34967-2023 karta.png", "A 34967-2023")</f>
        <v/>
      </c>
      <c r="Y13">
        <f>HYPERLINK("https://klasma.github.io/Logging_1962/kartor_geotiff/A 34967-2023 georefererad karta.tif", "A 34967-2023")</f>
        <v/>
      </c>
      <c r="AA13">
        <f>HYPERLINK("https://klasma.github.io/Logging_1962/klagomål/A 34967-2023 FSC-klagomål.docx", "A 34967-2023")</f>
        <v/>
      </c>
      <c r="AB13">
        <f>HYPERLINK("https://klasma.github.io/Logging_1962/klagomålsmail/A 34967-2023 FSC-klagomål mail.docx", "A 34967-2023")</f>
        <v/>
      </c>
      <c r="AC13">
        <f>HYPERLINK("https://klasma.github.io/Logging_1962/tillsyn/A 34967-2023 tillsynsbegäran.docx", "A 34967-2023")</f>
        <v/>
      </c>
      <c r="AD13">
        <f>HYPERLINK("https://klasma.github.io/Logging_1962/tillsynsmail/A 34967-2023 tillsynsbegäran mail.docx", "A 34967-2023")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46242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38017-2025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45882</v>
      </c>
      <c r="E15" s="1" t="n">
        <v>46242</v>
      </c>
      <c r="F15" t="inlineStr">
        <is>
          <t>VÄSTMANLANDS LÄN</t>
        </is>
      </c>
      <c r="G15" t="inlineStr">
        <is>
          <t>NORBERG</t>
        </is>
      </c>
      <c r="H15" t="inlineStr">
        <is>
          <t>Övriga Aktiebolag</t>
        </is>
      </c>
      <c r="I15" t="n">
        <v>15.5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HYPERLINK("https://klasma.github.io/Logging_1962/artfynd/A 38017-2025 artfynd.xlsx", "A 38017-2025")</f>
        <v/>
      </c>
      <c r="X15">
        <f>HYPERLINK("https://klasma.github.io/Logging_1962/kartor/A 38017-2025 karta.png", "A 38017-2025")</f>
        <v/>
      </c>
      <c r="Y15">
        <f>HYPERLINK("https://klasma.github.io/Logging_1962/kartor_geotiff/A 38017-2025 georefererad karta.tif", "A 38017-2025")</f>
        <v/>
      </c>
      <c r="AA15">
        <f>HYPERLINK("https://klasma.github.io/Logging_1962/klagomål/A 38017-2025 FSC-klagomål.docx", "A 38017-2025")</f>
        <v/>
      </c>
      <c r="AB15">
        <f>HYPERLINK("https://klasma.github.io/Logging_1962/klagomålsmail/A 38017-2025 FSC-klagomål mail.docx", "A 38017-2025")</f>
        <v/>
      </c>
      <c r="AC15">
        <f>HYPERLINK("https://klasma.github.io/Logging_1962/tillsyn/A 38017-2025 tillsynsbegäran.docx", "A 38017-2025")</f>
        <v/>
      </c>
      <c r="AD15">
        <f>HYPERLINK("https://klasma.github.io/Logging_1962/tillsynsmail/A 38017-2025 tillsynsbegäran mail.docx", "A 38017-2025")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46242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46242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46242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46242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46242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46242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46242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46242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46242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46242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46242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46242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46242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46242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46242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46242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46242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46242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46242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46242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46242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46242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44635</v>
      </c>
      <c r="E38" s="1" t="n">
        <v>46242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67361-2021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44523</v>
      </c>
      <c r="E39" s="1" t="n">
        <v>46242</v>
      </c>
      <c r="F39" t="inlineStr">
        <is>
          <t>VÄSTMANLANDS LÄN</t>
        </is>
      </c>
      <c r="G39" t="inlineStr">
        <is>
          <t>NORBERG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46242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46045-2023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46242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44687</v>
      </c>
      <c r="E42" s="1" t="n">
        <v>46242</v>
      </c>
      <c r="F42" t="inlineStr">
        <is>
          <t>VÄSTMANLANDS LÄN</t>
        </is>
      </c>
      <c r="G42" t="inlineStr">
        <is>
          <t>NORBERG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46242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51778-2024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46242</v>
      </c>
      <c r="F44" t="inlineStr">
        <is>
          <t>VÄSTMANLANDS LÄN</t>
        </is>
      </c>
      <c r="G44" t="inlineStr">
        <is>
          <t>NORBERG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46242</v>
      </c>
      <c r="F45" t="inlineStr">
        <is>
          <t>VÄSTMANLANDS LÄN</t>
        </is>
      </c>
      <c r="G45" t="inlineStr">
        <is>
          <t>NORBERG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46242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37200-2023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46242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45420</v>
      </c>
      <c r="E48" s="1" t="n">
        <v>46242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36905-2023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45154</v>
      </c>
      <c r="E49" s="1" t="n">
        <v>46242</v>
      </c>
      <c r="F49" t="inlineStr">
        <is>
          <t>VÄSTMANLANDS LÄN</t>
        </is>
      </c>
      <c r="G49" t="inlineStr">
        <is>
          <t>NORBERG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45226</v>
      </c>
      <c r="E50" s="1" t="n">
        <v>46242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45705</v>
      </c>
      <c r="E51" s="1" t="n">
        <v>46242</v>
      </c>
      <c r="F51" t="inlineStr">
        <is>
          <t>VÄSTMANLANDS LÄN</t>
        </is>
      </c>
      <c r="G51" t="inlineStr">
        <is>
          <t>NORBERG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45200</v>
      </c>
      <c r="E52" s="1" t="n">
        <v>46242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46242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45567</v>
      </c>
      <c r="E54" s="1" t="n">
        <v>46242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45274</v>
      </c>
      <c r="E55" s="1" t="n">
        <v>46242</v>
      </c>
      <c r="F55" t="inlineStr">
        <is>
          <t>VÄSTMANLANDS LÄN</t>
        </is>
      </c>
      <c r="G55" t="inlineStr">
        <is>
          <t>NORBERG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12526-2025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46242</v>
      </c>
      <c r="F56" t="inlineStr">
        <is>
          <t>VÄSTMANLANDS LÄN</t>
        </is>
      </c>
      <c r="G56" t="inlineStr">
        <is>
          <t>NORBERG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46242</v>
      </c>
      <c r="F57" t="inlineStr">
        <is>
          <t>VÄSTMANLANDS LÄN</t>
        </is>
      </c>
      <c r="G57" t="inlineStr">
        <is>
          <t>NORBERG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46242</v>
      </c>
      <c r="F58" t="inlineStr">
        <is>
          <t>VÄSTMANLANDS LÄN</t>
        </is>
      </c>
      <c r="G58" t="inlineStr">
        <is>
          <t>NORBERG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63505-2023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45274</v>
      </c>
      <c r="E59" s="1" t="n">
        <v>46242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45179</v>
      </c>
      <c r="E60" s="1" t="n">
        <v>46242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47029-2024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46242</v>
      </c>
      <c r="F61" t="inlineStr">
        <is>
          <t>VÄSTMANLANDS LÄN</t>
        </is>
      </c>
      <c r="G61" t="inlineStr">
        <is>
          <t>NORBERG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46242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60339-2025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45994</v>
      </c>
      <c r="E63" s="1" t="n">
        <v>46242</v>
      </c>
      <c r="F63" t="inlineStr">
        <is>
          <t>VÄSTMANLANDS LÄN</t>
        </is>
      </c>
      <c r="G63" t="inlineStr">
        <is>
          <t>NORBERG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44691</v>
      </c>
      <c r="E64" s="1" t="n">
        <v>46242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45001</v>
      </c>
      <c r="E65" s="1" t="n">
        <v>46242</v>
      </c>
      <c r="F65" t="inlineStr">
        <is>
          <t>VÄSTMANLANDS LÄN</t>
        </is>
      </c>
      <c r="G65" t="inlineStr">
        <is>
          <t>NORBERG</t>
        </is>
      </c>
      <c r="I65" t="n">
        <v>22.4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46242</v>
      </c>
      <c r="F66" t="inlineStr">
        <is>
          <t>VÄSTMANLANDS LÄN</t>
        </is>
      </c>
      <c r="G66" t="inlineStr">
        <is>
          <t>NORBERG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46242</v>
      </c>
      <c r="F67" t="inlineStr">
        <is>
          <t>VÄSTMANLANDS LÄN</t>
        </is>
      </c>
      <c r="G67" t="inlineStr">
        <is>
          <t>NORBERG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45729</v>
      </c>
      <c r="E68" s="1" t="n">
        <v>46242</v>
      </c>
      <c r="F68" t="inlineStr">
        <is>
          <t>VÄSTMANLANDS LÄN</t>
        </is>
      </c>
      <c r="G68" t="inlineStr">
        <is>
          <t>NORBERG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46242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46242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46242</v>
      </c>
      <c r="F71" t="inlineStr">
        <is>
          <t>VÄSTMANLANDS LÄN</t>
        </is>
      </c>
      <c r="G71" t="inlineStr">
        <is>
          <t>NORBERG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30211-2025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45827</v>
      </c>
      <c r="E72" s="1" t="n">
        <v>46242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13471-2026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46242</v>
      </c>
      <c r="F73" t="inlineStr">
        <is>
          <t>VÄSTMANLANDS LÄN</t>
        </is>
      </c>
      <c r="G73" t="inlineStr">
        <is>
          <t>NORBERG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45769</v>
      </c>
      <c r="E74" s="1" t="n">
        <v>46242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46242</v>
      </c>
      <c r="F75" t="inlineStr">
        <is>
          <t>VÄSTMANLANDS LÄN</t>
        </is>
      </c>
      <c r="G75" t="inlineStr">
        <is>
          <t>NORBERG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14234-2026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46099</v>
      </c>
      <c r="E76" s="1" t="n">
        <v>46242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50124-2022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46242</v>
      </c>
      <c r="F77" t="inlineStr">
        <is>
          <t>VÄSTMANLANDS LÄN</t>
        </is>
      </c>
      <c r="G77" t="inlineStr">
        <is>
          <t>NORBERG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46242</v>
      </c>
      <c r="F78" t="inlineStr">
        <is>
          <t>VÄSTMANLANDS LÄN</t>
        </is>
      </c>
      <c r="G78" t="inlineStr">
        <is>
          <t>NORBERG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46105</v>
      </c>
      <c r="E79" s="1" t="n">
        <v>46242</v>
      </c>
      <c r="F79" t="inlineStr">
        <is>
          <t>VÄSTMANLANDS LÄN</t>
        </is>
      </c>
      <c r="G79" t="inlineStr">
        <is>
          <t>NORBERG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46242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15981-2026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46108</v>
      </c>
      <c r="E81" s="1" t="n">
        <v>46242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45232</v>
      </c>
      <c r="E82" s="1" t="n">
        <v>46242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46111</v>
      </c>
      <c r="E83" s="1" t="n">
        <v>46242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46242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46113</v>
      </c>
      <c r="E85" s="1" t="n">
        <v>46242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46242</v>
      </c>
      <c r="F86" t="inlineStr">
        <is>
          <t>VÄSTMANLANDS LÄN</t>
        </is>
      </c>
      <c r="G86" t="inlineStr">
        <is>
          <t>NORBERG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46242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45966</v>
      </c>
      <c r="E88" s="1" t="n">
        <v>46242</v>
      </c>
      <c r="F88" t="inlineStr">
        <is>
          <t>VÄSTMANLANDS LÄN</t>
        </is>
      </c>
      <c r="G88" t="inlineStr">
        <is>
          <t>NORBERG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45631</v>
      </c>
      <c r="E89" s="1" t="n">
        <v>46242</v>
      </c>
      <c r="F89" t="inlineStr">
        <is>
          <t>VÄSTMANLANDS LÄN</t>
        </is>
      </c>
      <c r="G89" t="inlineStr">
        <is>
          <t>NORBERG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46242</v>
      </c>
      <c r="F90" t="inlineStr">
        <is>
          <t>VÄSTMANLANDS LÄN</t>
        </is>
      </c>
      <c r="G90" t="inlineStr">
        <is>
          <t>NORBERG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45205</v>
      </c>
      <c r="E91" s="1" t="n">
        <v>46242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46242</v>
      </c>
      <c r="F92" t="inlineStr">
        <is>
          <t>VÄSTMANLANDS LÄN</t>
        </is>
      </c>
      <c r="G92" t="inlineStr">
        <is>
          <t>NORBERG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45066-2023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46242</v>
      </c>
      <c r="F93" t="inlineStr">
        <is>
          <t>VÄSTMANLANDS LÄN</t>
        </is>
      </c>
      <c r="G93" t="inlineStr">
        <is>
          <t>NORBERG</t>
        </is>
      </c>
      <c r="H93" t="inlineStr">
        <is>
          <t>Bergvik skog väst AB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56940-2021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44480</v>
      </c>
      <c r="E94" s="1" t="n">
        <v>46242</v>
      </c>
      <c r="F94" t="inlineStr">
        <is>
          <t>VÄSTMANLANDS LÄN</t>
        </is>
      </c>
      <c r="G94" t="inlineStr">
        <is>
          <t>NORBERG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46242</v>
      </c>
      <c r="F95" t="inlineStr">
        <is>
          <t>VÄSTMANLANDS LÄN</t>
        </is>
      </c>
      <c r="G95" t="inlineStr">
        <is>
          <t>NORBERG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46242</v>
      </c>
      <c r="F96" t="inlineStr">
        <is>
          <t>VÄSTMANLANDS LÄN</t>
        </is>
      </c>
      <c r="G96" t="inlineStr">
        <is>
          <t>NORBERG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40232-2024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45554</v>
      </c>
      <c r="E97" s="1" t="n">
        <v>46242</v>
      </c>
      <c r="F97" t="inlineStr">
        <is>
          <t>VÄSTMANLANDS LÄN</t>
        </is>
      </c>
      <c r="G97" t="inlineStr">
        <is>
          <t>NORBERG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45169</v>
      </c>
      <c r="E98" s="1" t="n">
        <v>46242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46242</v>
      </c>
      <c r="F99" t="inlineStr">
        <is>
          <t>VÄSTMANLANDS LÄN</t>
        </is>
      </c>
      <c r="G99" t="inlineStr">
        <is>
          <t>NORBERG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45598</v>
      </c>
      <c r="E100" s="1" t="n">
        <v>46242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46019</v>
      </c>
      <c r="E101" s="1" t="n">
        <v>46242</v>
      </c>
      <c r="F101" t="inlineStr">
        <is>
          <t>VÄSTMANLANDS LÄN</t>
        </is>
      </c>
      <c r="G101" t="inlineStr">
        <is>
          <t>NORBERG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36443-2024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46242</v>
      </c>
      <c r="F102" t="inlineStr">
        <is>
          <t>VÄSTMANLANDS LÄN</t>
        </is>
      </c>
      <c r="G102" t="inlineStr">
        <is>
          <t>NORBERG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46242</v>
      </c>
      <c r="F103" t="inlineStr">
        <is>
          <t>VÄSTMANLANDS LÄN</t>
        </is>
      </c>
      <c r="G103" t="inlineStr">
        <is>
          <t>NORBERG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46139</v>
      </c>
      <c r="E104" s="1" t="n">
        <v>46242</v>
      </c>
      <c r="F104" t="inlineStr">
        <is>
          <t>VÄSTMANLANDS LÄN</t>
        </is>
      </c>
      <c r="G104" t="inlineStr">
        <is>
          <t>NORBERG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46242</v>
      </c>
      <c r="F105" t="inlineStr">
        <is>
          <t>VÄSTMANLANDS LÄN</t>
        </is>
      </c>
      <c r="G105" t="inlineStr">
        <is>
          <t>NORBERG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46242</v>
      </c>
      <c r="F106" t="inlineStr">
        <is>
          <t>VÄSTMANLANDS LÄN</t>
        </is>
      </c>
      <c r="G106" t="inlineStr">
        <is>
          <t>NORBERG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46242</v>
      </c>
      <c r="F107" t="inlineStr">
        <is>
          <t>VÄSTMANLANDS LÄN</t>
        </is>
      </c>
      <c r="G107" t="inlineStr">
        <is>
          <t>NORBERG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46242</v>
      </c>
      <c r="F108" t="inlineStr">
        <is>
          <t>VÄSTMANLANDS LÄN</t>
        </is>
      </c>
      <c r="G108" t="inlineStr">
        <is>
          <t>NORBERG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46242</v>
      </c>
      <c r="F109" t="inlineStr">
        <is>
          <t>VÄSTMANLANDS LÄN</t>
        </is>
      </c>
      <c r="G109" t="inlineStr">
        <is>
          <t>NORBERG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46242</v>
      </c>
      <c r="F110" t="inlineStr">
        <is>
          <t>VÄSTMANLANDS LÄN</t>
        </is>
      </c>
      <c r="G110" t="inlineStr">
        <is>
          <t>NORBERG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46014</v>
      </c>
      <c r="E111" s="1" t="n">
        <v>46242</v>
      </c>
      <c r="F111" t="inlineStr">
        <is>
          <t>VÄSTMANLANDS LÄN</t>
        </is>
      </c>
      <c r="G111" t="inlineStr">
        <is>
          <t>NORBERG</t>
        </is>
      </c>
      <c r="I111" t="n">
        <v>22.8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45607</v>
      </c>
      <c r="E112" s="1" t="n">
        <v>46242</v>
      </c>
      <c r="F112" t="inlineStr">
        <is>
          <t>VÄSTMANLANDS LÄN</t>
        </is>
      </c>
      <c r="G112" t="inlineStr">
        <is>
          <t>NORBERG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46242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46242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20968-2026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46142</v>
      </c>
      <c r="E115" s="1" t="n">
        <v>46242</v>
      </c>
      <c r="F115" t="inlineStr">
        <is>
          <t>VÄSTMANLANDS LÄN</t>
        </is>
      </c>
      <c r="G115" t="inlineStr">
        <is>
          <t>NORBERG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46242</v>
      </c>
      <c r="F116" t="inlineStr">
        <is>
          <t>VÄSTMANLANDS LÄN</t>
        </is>
      </c>
      <c r="G116" t="inlineStr">
        <is>
          <t>NORBERG</t>
        </is>
      </c>
      <c r="H116" t="inlineStr">
        <is>
          <t>Bergvik skog väst AB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46242</v>
      </c>
      <c r="F117" t="inlineStr">
        <is>
          <t>VÄSTMANLANDS LÄN</t>
        </is>
      </c>
      <c r="G117" t="inlineStr">
        <is>
          <t>NORBERG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46242</v>
      </c>
      <c r="F118" t="inlineStr">
        <is>
          <t>VÄSTMANLANDS LÄN</t>
        </is>
      </c>
      <c r="G118" t="inlineStr">
        <is>
          <t>NORBERG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47610-2022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46242</v>
      </c>
      <c r="F119" t="inlineStr">
        <is>
          <t>VÄSTMANLANDS LÄN</t>
        </is>
      </c>
      <c r="G119" t="inlineStr">
        <is>
          <t>NORBERG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46149</v>
      </c>
      <c r="E120" s="1" t="n">
        <v>46242</v>
      </c>
      <c r="F120" t="inlineStr">
        <is>
          <t>VÄSTMANLANDS LÄN</t>
        </is>
      </c>
      <c r="G120" t="inlineStr">
        <is>
          <t>NORBERG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46242</v>
      </c>
      <c r="F121" t="inlineStr">
        <is>
          <t>VÄSTMANLANDS LÄN</t>
        </is>
      </c>
      <c r="G121" t="inlineStr">
        <is>
          <t>NORBERG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46242</v>
      </c>
      <c r="F122" t="inlineStr">
        <is>
          <t>VÄSTMANLANDS LÄN</t>
        </is>
      </c>
      <c r="G122" t="inlineStr">
        <is>
          <t>NORBERG</t>
        </is>
      </c>
      <c r="H122" t="inlineStr">
        <is>
          <t>Övriga Aktiebolag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46242</v>
      </c>
      <c r="F123" t="inlineStr">
        <is>
          <t>VÄSTMANLANDS LÄN</t>
        </is>
      </c>
      <c r="G123" t="inlineStr">
        <is>
          <t>NORBERG</t>
        </is>
      </c>
      <c r="H123" t="inlineStr">
        <is>
          <t>Bergvik skog väst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46153</v>
      </c>
      <c r="E124" s="1" t="n">
        <v>46242</v>
      </c>
      <c r="F124" t="inlineStr">
        <is>
          <t>VÄSTMANLANDS LÄN</t>
        </is>
      </c>
      <c r="G124" t="inlineStr">
        <is>
          <t>NORBERG</t>
        </is>
      </c>
      <c r="H124" t="inlineStr">
        <is>
          <t>Övriga Aktiebolag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21983-2026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46242</v>
      </c>
      <c r="F125" t="inlineStr">
        <is>
          <t>VÄSTMANLANDS LÄN</t>
        </is>
      </c>
      <c r="G125" t="inlineStr">
        <is>
          <t>NORBERG</t>
        </is>
      </c>
      <c r="H125" t="inlineStr">
        <is>
          <t>Övriga Aktiebolag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46153</v>
      </c>
      <c r="E126" s="1" t="n">
        <v>46242</v>
      </c>
      <c r="F126" t="inlineStr">
        <is>
          <t>VÄSTMANLANDS LÄN</t>
        </is>
      </c>
      <c r="G126" t="inlineStr">
        <is>
          <t>NORBERG</t>
        </is>
      </c>
      <c r="H126" t="inlineStr">
        <is>
          <t>Övriga Aktiebolag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46242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45320</v>
      </c>
      <c r="E128" s="1" t="n">
        <v>46242</v>
      </c>
      <c r="F128" t="inlineStr">
        <is>
          <t>VÄSTMANLANDS LÄN</t>
        </is>
      </c>
      <c r="G128" t="inlineStr">
        <is>
          <t>NORBERG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45454</v>
      </c>
      <c r="E129" s="1" t="n">
        <v>46242</v>
      </c>
      <c r="F129" t="inlineStr">
        <is>
          <t>VÄSTMANLANDS LÄN</t>
        </is>
      </c>
      <c r="G129" t="inlineStr">
        <is>
          <t>NORBERG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45454</v>
      </c>
      <c r="E130" s="1" t="n">
        <v>46242</v>
      </c>
      <c r="F130" t="inlineStr">
        <is>
          <t>VÄSTMANLANDS LÄN</t>
        </is>
      </c>
      <c r="G130" t="inlineStr">
        <is>
          <t>NORBERG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56400-2025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45974</v>
      </c>
      <c r="E131" s="1" t="n">
        <v>46242</v>
      </c>
      <c r="F131" t="inlineStr">
        <is>
          <t>VÄSTMANLANDS LÄN</t>
        </is>
      </c>
      <c r="G131" t="inlineStr">
        <is>
          <t>NORBERG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19377-2025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45769</v>
      </c>
      <c r="E132" s="1" t="n">
        <v>46242</v>
      </c>
      <c r="F132" t="inlineStr">
        <is>
          <t>VÄSTMANLANDS LÄN</t>
        </is>
      </c>
      <c r="G132" t="inlineStr">
        <is>
          <t>NORBERG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46242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45056</v>
      </c>
      <c r="E134" s="1" t="n">
        <v>46242</v>
      </c>
      <c r="F134" t="inlineStr">
        <is>
          <t>VÄSTMANLANDS LÄN</t>
        </is>
      </c>
      <c r="G134" t="inlineStr">
        <is>
          <t>NORBERG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46242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20378-2023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45056</v>
      </c>
      <c r="E136" s="1" t="n">
        <v>46242</v>
      </c>
      <c r="F136" t="inlineStr">
        <is>
          <t>VÄSTMANLANDS LÄN</t>
        </is>
      </c>
      <c r="G136" t="inlineStr">
        <is>
          <t>NORBERG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46242</v>
      </c>
      <c r="F137" t="inlineStr">
        <is>
          <t>VÄSTMANLANDS LÄN</t>
        </is>
      </c>
      <c r="G137" t="inlineStr">
        <is>
          <t>NORBERG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46242</v>
      </c>
      <c r="F138" t="inlineStr">
        <is>
          <t>VÄSTMANLANDS LÄN</t>
        </is>
      </c>
      <c r="G138" t="inlineStr">
        <is>
          <t>NORBERG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45588</v>
      </c>
      <c r="E139" s="1" t="n">
        <v>46242</v>
      </c>
      <c r="F139" t="inlineStr">
        <is>
          <t>VÄSTMANLANDS LÄN</t>
        </is>
      </c>
      <c r="G139" t="inlineStr">
        <is>
          <t>NORBERG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46242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46242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15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45882</v>
      </c>
      <c r="E142" s="1" t="n">
        <v>46242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46176</v>
      </c>
      <c r="E143" s="1" t="n">
        <v>46242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46242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46223</v>
      </c>
      <c r="E145" s="1" t="n">
        <v>46242</v>
      </c>
      <c r="F145" t="inlineStr">
        <is>
          <t>VÄSTMANLANDS LÄN</t>
        </is>
      </c>
      <c r="G145" t="inlineStr">
        <is>
          <t>NORBERG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46242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45474</v>
      </c>
      <c r="E147" s="1" t="n">
        <v>46242</v>
      </c>
      <c r="F147" t="inlineStr">
        <is>
          <t>VÄSTMANLANDS LÄN</t>
        </is>
      </c>
      <c r="G147" t="inlineStr">
        <is>
          <t>NORBERG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45613</v>
      </c>
      <c r="E148" s="1" t="n">
        <v>46242</v>
      </c>
      <c r="F148" t="inlineStr">
        <is>
          <t>VÄSTMANLANDS LÄN</t>
        </is>
      </c>
      <c r="G148" t="inlineStr">
        <is>
          <t>NORBERG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31967-2026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46232</v>
      </c>
      <c r="E149" s="1" t="n">
        <v>46242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46189</v>
      </c>
      <c r="E150" s="1" t="n">
        <v>46242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13.7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46242</v>
      </c>
      <c r="F151" t="inlineStr">
        <is>
          <t>VÄSTMANLANDS LÄN</t>
        </is>
      </c>
      <c r="G151" t="inlineStr">
        <is>
          <t>NORBERG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46233</v>
      </c>
      <c r="E152" s="1" t="n">
        <v>46242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46189</v>
      </c>
      <c r="E153" s="1" t="n">
        <v>46242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46242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32385-2026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46238</v>
      </c>
      <c r="E155" s="1" t="n">
        <v>46242</v>
      </c>
      <c r="F155" t="inlineStr">
        <is>
          <t>VÄSTMANLANDS LÄN</t>
        </is>
      </c>
      <c r="G155" t="inlineStr">
        <is>
          <t>NORBERG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46242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46242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45560</v>
      </c>
      <c r="E158" s="1" t="n">
        <v>46242</v>
      </c>
      <c r="F158" t="inlineStr">
        <is>
          <t>VÄSTMANLANDS LÄN</t>
        </is>
      </c>
      <c r="G158" t="inlineStr">
        <is>
          <t>NORBERG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46242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46242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45200</v>
      </c>
      <c r="E161" s="1" t="n">
        <v>46242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46242</v>
      </c>
      <c r="F162" t="inlineStr">
        <is>
          <t>VÄSTMANLANDS LÄN</t>
        </is>
      </c>
      <c r="G162" t="inlineStr">
        <is>
          <t>NORBERG</t>
        </is>
      </c>
      <c r="H162" t="inlineStr">
        <is>
          <t>Övriga Aktiebolag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46242</v>
      </c>
      <c r="F163" t="inlineStr">
        <is>
          <t>VÄSTMANLANDS LÄN</t>
        </is>
      </c>
      <c r="G163" t="inlineStr">
        <is>
          <t>NORBERG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46242</v>
      </c>
      <c r="F164" t="inlineStr">
        <is>
          <t>VÄSTMANLANDS LÄN</t>
        </is>
      </c>
      <c r="G164" t="inlineStr">
        <is>
          <t>NORBERG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46242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46242</v>
      </c>
      <c r="F166" t="inlineStr">
        <is>
          <t>VÄSTMANLANDS LÄN</t>
        </is>
      </c>
      <c r="G166" t="inlineStr">
        <is>
          <t>NORBERG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46242</v>
      </c>
      <c r="F167" t="inlineStr">
        <is>
          <t>VÄSTMANLANDS LÄN</t>
        </is>
      </c>
      <c r="G167" t="inlineStr">
        <is>
          <t>NORBERG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45049</v>
      </c>
      <c r="E168" s="1" t="n">
        <v>46242</v>
      </c>
      <c r="F168" t="inlineStr">
        <is>
          <t>VÄSTMANLANDS LÄN</t>
        </is>
      </c>
      <c r="G168" t="inlineStr">
        <is>
          <t>NORBERG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67356-2021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44523</v>
      </c>
      <c r="E169" s="1" t="n">
        <v>46242</v>
      </c>
      <c r="F169" t="inlineStr">
        <is>
          <t>VÄSTMANLANDS LÄN</t>
        </is>
      </c>
      <c r="G169" t="inlineStr">
        <is>
          <t>NORBERG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46242</v>
      </c>
      <c r="F170" t="inlineStr">
        <is>
          <t>VÄSTMANLANDS LÄN</t>
        </is>
      </c>
      <c r="G170" t="inlineStr">
        <is>
          <t>NORBERG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46242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45121</v>
      </c>
      <c r="E172" s="1" t="n">
        <v>46242</v>
      </c>
      <c r="F172" t="inlineStr">
        <is>
          <t>VÄSTMANLANDS LÄN</t>
        </is>
      </c>
      <c r="G172" t="inlineStr">
        <is>
          <t>NORBERG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45028</v>
      </c>
      <c r="E173" s="1" t="n">
        <v>46242</v>
      </c>
      <c r="F173" t="inlineStr">
        <is>
          <t>VÄSTMANLANDS LÄN</t>
        </is>
      </c>
      <c r="G173" t="inlineStr">
        <is>
          <t>NORBERG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45089</v>
      </c>
      <c r="E174" s="1" t="n">
        <v>46242</v>
      </c>
      <c r="F174" t="inlineStr">
        <is>
          <t>VÄSTMANLANDS LÄN</t>
        </is>
      </c>
      <c r="G174" t="inlineStr">
        <is>
          <t>NORBERG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45567</v>
      </c>
      <c r="E175" s="1" t="n">
        <v>46242</v>
      </c>
      <c r="F175" t="inlineStr">
        <is>
          <t>VÄSTMANLANDS LÄN</t>
        </is>
      </c>
      <c r="G175" t="inlineStr">
        <is>
          <t>NORBERG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46242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46242</v>
      </c>
      <c r="F177" t="inlineStr">
        <is>
          <t>VÄSTMANLANDS LÄN</t>
        </is>
      </c>
      <c r="G177" t="inlineStr">
        <is>
          <t>NORBERG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44992</v>
      </c>
      <c r="E178" s="1" t="n">
        <v>46242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46242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46242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45440</v>
      </c>
      <c r="E181" s="1" t="n">
        <v>46242</v>
      </c>
      <c r="F181" t="inlineStr">
        <is>
          <t>VÄSTMANLANDS LÄN</t>
        </is>
      </c>
      <c r="G181" t="inlineStr">
        <is>
          <t>NORBERG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46242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46242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46242</v>
      </c>
      <c r="F184" t="inlineStr">
        <is>
          <t>VÄSTMANLANDS LÄN</t>
        </is>
      </c>
      <c r="G184" t="inlineStr">
        <is>
          <t>NORBERG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46242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46242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46242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S 409-2022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44585</v>
      </c>
      <c r="E188" s="1" t="n">
        <v>46242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606-2026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46085</v>
      </c>
      <c r="E189" s="1" t="n">
        <v>46242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26.4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>
      <c r="A190" t="inlineStr">
        <is>
          <t>S 2097-2026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46238</v>
      </c>
      <c r="E190" s="1" t="n">
        <v>46242</v>
      </c>
      <c r="F190" t="inlineStr">
        <is>
          <t>VÄSTMANLANDS LÄN</t>
        </is>
      </c>
      <c r="G190" t="inlineStr">
        <is>
          <t>NORBERG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2026-08-08T01:56:22Z</dcterms:created>
  <dcterms:modified xmlns:dcterms="http://purl.org/dc/terms/" xmlns:xsi="http://www.w3.org/2001/XMLSchema-instance" xsi:type="dcterms:W3CDTF">2026-08-08T01:56:22Z</dcterms:modified>
</cp:coreProperties>
</file>