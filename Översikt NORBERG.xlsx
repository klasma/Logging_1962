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46311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46311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46311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46311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46311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46311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46311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55711-2024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45622</v>
      </c>
      <c r="E9" s="1" t="n">
        <v>46311</v>
      </c>
      <c r="F9" t="inlineStr">
        <is>
          <t>VÄSTMANLANDS LÄN</t>
        </is>
      </c>
      <c r="G9" t="inlineStr">
        <is>
          <t>NORBERG</t>
        </is>
      </c>
      <c r="I9" t="n">
        <v>2.5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Persiljespindling
Skogsknipprot</t>
        </is>
      </c>
      <c r="W9">
        <f>HYPERLINK("https://klasma.github.io/Logging_1962/artfynd/A 55711-2024 artfynd.xlsx", "A 55711-2024")</f>
        <v/>
      </c>
      <c r="X9">
        <f>HYPERLINK("https://klasma.github.io/Logging_1962/kartor/A 55711-2024 karta.png", "A 55711-2024")</f>
        <v/>
      </c>
      <c r="Y9">
        <f>HYPERLINK("https://klasma.github.io/Logging_1962/kartor_geotiff/A 55711-2024 georefererad karta.tif", "A 55711-2024")</f>
        <v/>
      </c>
      <c r="AA9">
        <f>HYPERLINK("https://klasma.github.io/Logging_1962/klagomål/A 55711-2024 FSC-klagomål.docx", "A 55711-2024")</f>
        <v/>
      </c>
      <c r="AB9">
        <f>HYPERLINK("https://klasma.github.io/Logging_1962/klagomålsmail/A 55711-2024 FSC-klagomål mail.docx", "A 55711-2024")</f>
        <v/>
      </c>
      <c r="AC9">
        <f>HYPERLINK("https://klasma.github.io/Logging_1962/tillsyn/A 55711-2024 tillsynsbegäran.docx", "A 55711-2024")</f>
        <v/>
      </c>
      <c r="AD9">
        <f>HYPERLINK("https://klasma.github.io/Logging_1962/tillsynsmail/A 55711-2024 tillsynsbegäran mail.docx", "A 55711-2024")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46311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46311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41901-2026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46303</v>
      </c>
      <c r="E12" s="1" t="n">
        <v>46311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Skogshakmossa
Fläcknycklar</t>
        </is>
      </c>
      <c r="W12">
        <f>HYPERLINK("https://klasma.github.io/Logging_1962/artfynd/A 41901-2026 artfynd.xlsx", "A 41901-2026")</f>
        <v/>
      </c>
      <c r="X12">
        <f>HYPERLINK("https://klasma.github.io/Logging_1962/kartor/A 41901-2026 karta.png", "A 41901-2026")</f>
        <v/>
      </c>
      <c r="Y12">
        <f>HYPERLINK("https://klasma.github.io/Logging_1962/kartor_geotiff/A 41901-2026 georefererad karta.tif", "A 41901-2026")</f>
        <v/>
      </c>
      <c r="AA12">
        <f>HYPERLINK("https://klasma.github.io/Logging_1962/klagomål/A 41901-2026 FSC-klagomål.docx", "A 41901-2026")</f>
        <v/>
      </c>
      <c r="AB12">
        <f>HYPERLINK("https://klasma.github.io/Logging_1962/klagomålsmail/A 41901-2026 FSC-klagomål mail.docx", "A 41901-2026")</f>
        <v/>
      </c>
      <c r="AC12">
        <f>HYPERLINK("https://klasma.github.io/Logging_1962/tillsyn/A 41901-2026 tillsynsbegäran.docx", "A 41901-2026")</f>
        <v/>
      </c>
      <c r="AD12">
        <f>HYPERLINK("https://klasma.github.io/Logging_1962/tillsynsmail/A 41901-2026 tillsynsbegäran mail.docx", "A 41901-2026")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46311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46311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46311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52063-2022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44873</v>
      </c>
      <c r="E16" s="1" t="n">
        <v>46311</v>
      </c>
      <c r="F16" t="inlineStr">
        <is>
          <t>VÄSTMANLANDS LÄN</t>
        </is>
      </c>
      <c r="G16" t="inlineStr">
        <is>
          <t>NORBERG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52063-2022 artfynd.xlsx", "A 52063-2022")</f>
        <v/>
      </c>
      <c r="X16">
        <f>HYPERLINK("https://klasma.github.io/Logging_1962/kartor/A 52063-2022 karta.png", "A 52063-2022")</f>
        <v/>
      </c>
      <c r="Y16">
        <f>HYPERLINK("https://klasma.github.io/Logging_1962/kartor_geotiff/A 52063-2022 georefererad karta.tif", "A 52063-2022")</f>
        <v/>
      </c>
      <c r="AA16">
        <f>HYPERLINK("https://klasma.github.io/Logging_1962/klagomål/A 52063-2022 FSC-klagomål.docx", "A 52063-2022")</f>
        <v/>
      </c>
      <c r="AB16">
        <f>HYPERLINK("https://klasma.github.io/Logging_1962/klagomålsmail/A 52063-2022 FSC-klagomål mail.docx", "A 52063-2022")</f>
        <v/>
      </c>
      <c r="AC16">
        <f>HYPERLINK("https://klasma.github.io/Logging_1962/tillsyn/A 52063-2022 tillsynsbegäran.docx", "A 52063-2022")</f>
        <v/>
      </c>
      <c r="AD16">
        <f>HYPERLINK("https://klasma.github.io/Logging_1962/tillsynsmail/A 52063-2022 tillsynsbegäran mail.docx", "A 52063-2022")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46311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46311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46311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15107-2025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45744</v>
      </c>
      <c r="E20" s="1" t="n">
        <v>46311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HYPERLINK("https://klasma.github.io/Logging_1962/artfynd/A 15107-2025 artfynd.xlsx", "A 15107-2025")</f>
        <v/>
      </c>
      <c r="X20">
        <f>HYPERLINK("https://klasma.github.io/Logging_1962/kartor/A 15107-2025 karta.png", "A 15107-2025")</f>
        <v/>
      </c>
      <c r="Y20">
        <f>HYPERLINK("https://klasma.github.io/Logging_1962/kartor_geotiff/A 15107-2025 georefererad karta.tif", "A 15107-2025")</f>
        <v/>
      </c>
      <c r="AA20">
        <f>HYPERLINK("https://klasma.github.io/Logging_1962/klagomål/A 15107-2025 FSC-klagomål.docx", "A 15107-2025")</f>
        <v/>
      </c>
      <c r="AB20">
        <f>HYPERLINK("https://klasma.github.io/Logging_1962/klagomålsmail/A 15107-2025 FSC-klagomål mail.docx", "A 15107-2025")</f>
        <v/>
      </c>
      <c r="AC20">
        <f>HYPERLINK("https://klasma.github.io/Logging_1962/tillsyn/A 15107-2025 tillsynsbegäran.docx", "A 15107-2025")</f>
        <v/>
      </c>
      <c r="AD20">
        <f>HYPERLINK("https://klasma.github.io/Logging_1962/tillsynsmail/A 15107-2025 tillsynsbegäran mail.docx", "A 15107-2025")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46311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46311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61099-2024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46311</v>
      </c>
      <c r="F23" t="inlineStr">
        <is>
          <t>VÄSTMANLANDS LÄN</t>
        </is>
      </c>
      <c r="G23" t="inlineStr">
        <is>
          <t>NORBERG</t>
        </is>
      </c>
      <c r="I23" t="n">
        <v>0.4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HYPERLINK("https://klasma.github.io/Logging_1962/artfynd/A 61099-2024 artfynd.xlsx", "A 61099-2024")</f>
        <v/>
      </c>
      <c r="X23">
        <f>HYPERLINK("https://klasma.github.io/Logging_1962/kartor/A 61099-2024 karta.png", "A 61099-2024")</f>
        <v/>
      </c>
      <c r="Y23">
        <f>HYPERLINK("https://klasma.github.io/Logging_1962/kartor_geotiff/A 61099-2024 georefererad karta.tif", "A 61099-2024")</f>
        <v/>
      </c>
      <c r="AA23">
        <f>HYPERLINK("https://klasma.github.io/Logging_1962/klagomål/A 61099-2024 FSC-klagomål.docx", "A 61099-2024")</f>
        <v/>
      </c>
      <c r="AB23">
        <f>HYPERLINK("https://klasma.github.io/Logging_1962/klagomålsmail/A 61099-2024 FSC-klagomål mail.docx", "A 61099-2024")</f>
        <v/>
      </c>
      <c r="AC23">
        <f>HYPERLINK("https://klasma.github.io/Logging_1962/tillsyn/A 61099-2024 tillsynsbegäran.docx", "A 61099-2024")</f>
        <v/>
      </c>
      <c r="AD23">
        <f>HYPERLINK("https://klasma.github.io/Logging_1962/tillsynsmail/A 61099-2024 tillsynsbegäran mail.docx", "A 61099-2024")</f>
        <v/>
      </c>
    </row>
    <row r="24" ht="15" customHeight="1">
      <c r="A24" t="inlineStr">
        <is>
          <t>A 38927-2026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46311</v>
      </c>
      <c r="F24" t="inlineStr">
        <is>
          <t>VÄSTMANLANDS LÄN</t>
        </is>
      </c>
      <c r="G24" t="inlineStr">
        <is>
          <t>NORBERG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HYPERLINK("https://klasma.github.io/Logging_1962/artfynd/A 38927-2026 artfynd.xlsx", "A 38927-2026")</f>
        <v/>
      </c>
      <c r="X24">
        <f>HYPERLINK("https://klasma.github.io/Logging_1962/kartor/A 38927-2026 karta.png", "A 38927-2026")</f>
        <v/>
      </c>
      <c r="Y24">
        <f>HYPERLINK("https://klasma.github.io/Logging_1962/kartor_geotiff/A 38927-2026 georefererad karta.tif", "A 38927-2026")</f>
        <v/>
      </c>
      <c r="AA24">
        <f>HYPERLINK("https://klasma.github.io/Logging_1962/klagomål/A 38927-2026 FSC-klagomål.docx", "A 38927-2026")</f>
        <v/>
      </c>
      <c r="AB24">
        <f>HYPERLINK("https://klasma.github.io/Logging_1962/klagomålsmail/A 38927-2026 FSC-klagomål mail.docx", "A 38927-2026")</f>
        <v/>
      </c>
      <c r="AC24">
        <f>HYPERLINK("https://klasma.github.io/Logging_1962/tillsyn/A 38927-2026 tillsynsbegäran.docx", "A 38927-2026")</f>
        <v/>
      </c>
      <c r="AD24">
        <f>HYPERLINK("https://klasma.github.io/Logging_1962/tillsynsmail/A 38927-2026 tillsynsbegäran mail.docx", "A 38927-2026")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46311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34234-2026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46311</v>
      </c>
      <c r="F26" t="inlineStr">
        <is>
          <t>VÄSTMANLANDS LÄN</t>
        </is>
      </c>
      <c r="G26" t="inlineStr">
        <is>
          <t>NORBERG</t>
        </is>
      </c>
      <c r="I26" t="n">
        <v>0.8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34234-2026 artfynd.xlsx", "A 34234-2026")</f>
        <v/>
      </c>
      <c r="X26">
        <f>HYPERLINK("https://klasma.github.io/Logging_1962/kartor/A 34234-2026 karta.png", "A 34234-2026")</f>
        <v/>
      </c>
      <c r="Y26">
        <f>HYPERLINK("https://klasma.github.io/Logging_1962/kartor_geotiff/A 34234-2026 georefererad karta.tif", "A 34234-2026")</f>
        <v/>
      </c>
      <c r="AA26">
        <f>HYPERLINK("https://klasma.github.io/Logging_1962/klagomål/A 34234-2026 FSC-klagomål.docx", "A 34234-2026")</f>
        <v/>
      </c>
      <c r="AB26">
        <f>HYPERLINK("https://klasma.github.io/Logging_1962/klagomålsmail/A 34234-2026 FSC-klagomål mail.docx", "A 34234-2026")</f>
        <v/>
      </c>
      <c r="AC26">
        <f>HYPERLINK("https://klasma.github.io/Logging_1962/tillsyn/A 34234-2026 tillsynsbegäran.docx", "A 34234-2026")</f>
        <v/>
      </c>
      <c r="AD26">
        <f>HYPERLINK("https://klasma.github.io/Logging_1962/tillsynsmail/A 34234-2026 tillsynsbegäran mail.docx", "A 34234-2026")</f>
        <v/>
      </c>
    </row>
    <row r="27" ht="15" customHeight="1">
      <c r="A27" t="inlineStr">
        <is>
          <t>A 41909-2026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46303</v>
      </c>
      <c r="E27" s="1" t="n">
        <v>46311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Plattlummer</t>
        </is>
      </c>
      <c r="W27">
        <f>HYPERLINK("https://klasma.github.io/Logging_1962/artfynd/A 41909-2026 artfynd.xlsx", "A 41909-2026")</f>
        <v/>
      </c>
      <c r="X27">
        <f>HYPERLINK("https://klasma.github.io/Logging_1962/kartor/A 41909-2026 karta.png", "A 41909-2026")</f>
        <v/>
      </c>
      <c r="Y27">
        <f>HYPERLINK("https://klasma.github.io/Logging_1962/kartor_geotiff/A 41909-2026 georefererad karta.tif", "A 41909-2026")</f>
        <v/>
      </c>
      <c r="AA27">
        <f>HYPERLINK("https://klasma.github.io/Logging_1962/klagomål/A 41909-2026 FSC-klagomål.docx", "A 41909-2026")</f>
        <v/>
      </c>
      <c r="AB27">
        <f>HYPERLINK("https://klasma.github.io/Logging_1962/klagomålsmail/A 41909-2026 FSC-klagomål mail.docx", "A 41909-2026")</f>
        <v/>
      </c>
      <c r="AC27">
        <f>HYPERLINK("https://klasma.github.io/Logging_1962/tillsyn/A 41909-2026 tillsynsbegäran.docx", "A 41909-2026")</f>
        <v/>
      </c>
      <c r="AD27">
        <f>HYPERLINK("https://klasma.github.io/Logging_1962/tillsynsmail/A 41909-2026 tillsynsbegäran mail.docx", "A 41909-2026")</f>
        <v/>
      </c>
    </row>
    <row r="28" ht="15" customHeight="1">
      <c r="A28" t="inlineStr">
        <is>
          <t>A 36383-2026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46268</v>
      </c>
      <c r="E28" s="1" t="n">
        <v>46311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8.300000000000001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Plattlummer</t>
        </is>
      </c>
      <c r="W28">
        <f>HYPERLINK("https://klasma.github.io/Logging_1962/artfynd/A 36383-2026 artfynd.xlsx", "A 36383-2026")</f>
        <v/>
      </c>
      <c r="X28">
        <f>HYPERLINK("https://klasma.github.io/Logging_1962/kartor/A 36383-2026 karta.png", "A 36383-2026")</f>
        <v/>
      </c>
      <c r="Y28">
        <f>HYPERLINK("https://klasma.github.io/Logging_1962/kartor_geotiff/A 36383-2026 georefererad karta.tif", "A 36383-2026")</f>
        <v/>
      </c>
      <c r="AA28">
        <f>HYPERLINK("https://klasma.github.io/Logging_1962/klagomål/A 36383-2026 FSC-klagomål.docx", "A 36383-2026")</f>
        <v/>
      </c>
      <c r="AB28">
        <f>HYPERLINK("https://klasma.github.io/Logging_1962/klagomålsmail/A 36383-2026 FSC-klagomål mail.docx", "A 36383-2026")</f>
        <v/>
      </c>
      <c r="AC28">
        <f>HYPERLINK("https://klasma.github.io/Logging_1962/tillsyn/A 36383-2026 tillsynsbegäran.docx", "A 36383-2026")</f>
        <v/>
      </c>
      <c r="AD28">
        <f>HYPERLINK("https://klasma.github.io/Logging_1962/tillsynsmail/A 36383-2026 tillsynsbegäran mail.docx", "A 36383-2026")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46311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46311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46311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46311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46311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46311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46311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46311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46311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46311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46311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46311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46311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46311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46311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46864-2023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45200</v>
      </c>
      <c r="E44" s="1" t="n">
        <v>46311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46311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46311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45764</v>
      </c>
      <c r="E47" s="1" t="n">
        <v>46311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46311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46311</v>
      </c>
      <c r="F49" t="inlineStr">
        <is>
          <t>VÄSTMANLANDS LÄN</t>
        </is>
      </c>
      <c r="G49" t="inlineStr">
        <is>
          <t>NORBERG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27580-2024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45474</v>
      </c>
      <c r="E50" s="1" t="n">
        <v>46311</v>
      </c>
      <c r="F50" t="inlineStr">
        <is>
          <t>VÄSTMANLANDS LÄN</t>
        </is>
      </c>
      <c r="G50" t="inlineStr">
        <is>
          <t>NORBERG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46311</v>
      </c>
      <c r="F51" t="inlineStr">
        <is>
          <t>VÄSTMANLANDS LÄN</t>
        </is>
      </c>
      <c r="G51" t="inlineStr">
        <is>
          <t>NORBERG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46311</v>
      </c>
      <c r="F52" t="inlineStr">
        <is>
          <t>VÄSTMANLANDS LÄN</t>
        </is>
      </c>
      <c r="G52" t="inlineStr">
        <is>
          <t>NORBERG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30211-2025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46311</v>
      </c>
      <c r="F53" t="inlineStr">
        <is>
          <t>VÄSTMANLANDS LÄN</t>
        </is>
      </c>
      <c r="G53" t="inlineStr">
        <is>
          <t>NORBERG</t>
        </is>
      </c>
      <c r="H53" t="inlineStr">
        <is>
          <t>Övriga Aktiebolag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27589-2024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45474</v>
      </c>
      <c r="E54" s="1" t="n">
        <v>46311</v>
      </c>
      <c r="F54" t="inlineStr">
        <is>
          <t>VÄSTMANLANDS LÄN</t>
        </is>
      </c>
      <c r="G54" t="inlineStr">
        <is>
          <t>NORBERG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28589-2023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45103</v>
      </c>
      <c r="E55" s="1" t="n">
        <v>46311</v>
      </c>
      <c r="F55" t="inlineStr">
        <is>
          <t>VÄSTMANLANDS LÄN</t>
        </is>
      </c>
      <c r="G55" t="inlineStr">
        <is>
          <t>NORBERG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36443-2024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45537</v>
      </c>
      <c r="E56" s="1" t="n">
        <v>46311</v>
      </c>
      <c r="F56" t="inlineStr">
        <is>
          <t>VÄSTMANLANDS LÄN</t>
        </is>
      </c>
      <c r="G56" t="inlineStr">
        <is>
          <t>NORBERG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47610-2022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46311</v>
      </c>
      <c r="F57" t="inlineStr">
        <is>
          <t>VÄSTMANLANDS LÄN</t>
        </is>
      </c>
      <c r="G57" t="inlineStr">
        <is>
          <t>NORBERG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45066-2023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45191</v>
      </c>
      <c r="E58" s="1" t="n">
        <v>46311</v>
      </c>
      <c r="F58" t="inlineStr">
        <is>
          <t>VÄSTMANLANDS LÄN</t>
        </is>
      </c>
      <c r="G58" t="inlineStr">
        <is>
          <t>NORBERG</t>
        </is>
      </c>
      <c r="H58" t="inlineStr">
        <is>
          <t>Bergvik skog väst AB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45089</v>
      </c>
      <c r="E59" s="1" t="n">
        <v>46311</v>
      </c>
      <c r="F59" t="inlineStr">
        <is>
          <t>VÄSTMANLANDS LÄN</t>
        </is>
      </c>
      <c r="G59" t="inlineStr">
        <is>
          <t>NORBERG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45320</v>
      </c>
      <c r="E60" s="1" t="n">
        <v>46311</v>
      </c>
      <c r="F60" t="inlineStr">
        <is>
          <t>VÄSTMANLANDS LÄN</t>
        </is>
      </c>
      <c r="G60" t="inlineStr">
        <is>
          <t>NORBERG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36905-2023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45154</v>
      </c>
      <c r="E61" s="1" t="n">
        <v>46311</v>
      </c>
      <c r="F61" t="inlineStr">
        <is>
          <t>VÄSTMANLANDS LÄN</t>
        </is>
      </c>
      <c r="G61" t="inlineStr">
        <is>
          <t>NORBERG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40144-2023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45169</v>
      </c>
      <c r="E62" s="1" t="n">
        <v>46311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8746-2023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46311</v>
      </c>
      <c r="F63" t="inlineStr">
        <is>
          <t>VÄSTMANLANDS LÄN</t>
        </is>
      </c>
      <c r="G63" t="inlineStr">
        <is>
          <t>NORBERG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44992</v>
      </c>
      <c r="E64" s="1" t="n">
        <v>46311</v>
      </c>
      <c r="F64" t="inlineStr">
        <is>
          <t>VÄSTMANLANDS LÄN</t>
        </is>
      </c>
      <c r="G64" t="inlineStr">
        <is>
          <t>NORBERG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46311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15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46311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45607</v>
      </c>
      <c r="E67" s="1" t="n">
        <v>46311</v>
      </c>
      <c r="F67" t="inlineStr">
        <is>
          <t>VÄSTMANLANDS LÄN</t>
        </is>
      </c>
      <c r="G67" t="inlineStr">
        <is>
          <t>NORBERG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46311</v>
      </c>
      <c r="F68" t="inlineStr">
        <is>
          <t>VÄSTMANLANDS LÄN</t>
        </is>
      </c>
      <c r="G68" t="inlineStr">
        <is>
          <t>NORBERG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20378-2023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45056</v>
      </c>
      <c r="E69" s="1" t="n">
        <v>46311</v>
      </c>
      <c r="F69" t="inlineStr">
        <is>
          <t>VÄSTMANLANDS LÄN</t>
        </is>
      </c>
      <c r="G69" t="inlineStr">
        <is>
          <t>NORBERG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45588</v>
      </c>
      <c r="E70" s="1" t="n">
        <v>46311</v>
      </c>
      <c r="F70" t="inlineStr">
        <is>
          <t>VÄSTMANLANDS LÄN</t>
        </is>
      </c>
      <c r="G70" t="inlineStr">
        <is>
          <t>NORBERG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46099</v>
      </c>
      <c r="E71" s="1" t="n">
        <v>46311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45028</v>
      </c>
      <c r="E72" s="1" t="n">
        <v>46311</v>
      </c>
      <c r="F72" t="inlineStr">
        <is>
          <t>VÄSTMANLANDS LÄN</t>
        </is>
      </c>
      <c r="G72" t="inlineStr">
        <is>
          <t>NORBERG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45408</v>
      </c>
      <c r="E73" s="1" t="n">
        <v>46311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8.800000000000001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46311</v>
      </c>
      <c r="F74" t="inlineStr">
        <is>
          <t>VÄSTMANLANDS LÄN</t>
        </is>
      </c>
      <c r="G74" t="inlineStr">
        <is>
          <t>NORBERG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15263-2026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46105</v>
      </c>
      <c r="E75" s="1" t="n">
        <v>46311</v>
      </c>
      <c r="F75" t="inlineStr">
        <is>
          <t>VÄSTMANLANDS LÄN</t>
        </is>
      </c>
      <c r="G75" t="inlineStr">
        <is>
          <t>NORBERG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46105</v>
      </c>
      <c r="E76" s="1" t="n">
        <v>46311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43103-2024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45567</v>
      </c>
      <c r="E77" s="1" t="n">
        <v>46311</v>
      </c>
      <c r="F77" t="inlineStr">
        <is>
          <t>VÄSTMANLANDS LÄN</t>
        </is>
      </c>
      <c r="G77" t="inlineStr">
        <is>
          <t>NORBERG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15981-2026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46108</v>
      </c>
      <c r="E78" s="1" t="n">
        <v>46311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46311</v>
      </c>
      <c r="F79" t="inlineStr">
        <is>
          <t>VÄSTMANLANDS LÄN</t>
        </is>
      </c>
      <c r="G79" t="inlineStr">
        <is>
          <t>NORBERG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46111</v>
      </c>
      <c r="E80" s="1" t="n">
        <v>46311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16897-2026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46113</v>
      </c>
      <c r="E81" s="1" t="n">
        <v>46311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17063-2026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46311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45405</v>
      </c>
      <c r="E83" s="1" t="n">
        <v>46311</v>
      </c>
      <c r="F83" t="inlineStr">
        <is>
          <t>VÄSTMANLANDS LÄN</t>
        </is>
      </c>
      <c r="G83" t="inlineStr">
        <is>
          <t>NORBERG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46311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37200-2023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46311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46311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45205</v>
      </c>
      <c r="E87" s="1" t="n">
        <v>46311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32524-2023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45121</v>
      </c>
      <c r="E88" s="1" t="n">
        <v>46311</v>
      </c>
      <c r="F88" t="inlineStr">
        <is>
          <t>VÄSTMANLANDS LÄN</t>
        </is>
      </c>
      <c r="G88" t="inlineStr">
        <is>
          <t>NORBERG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11099-2022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46311</v>
      </c>
      <c r="F89" t="inlineStr">
        <is>
          <t>VÄSTMANLANDS LÄN</t>
        </is>
      </c>
      <c r="G89" t="inlineStr">
        <is>
          <t>NORBERG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46311</v>
      </c>
      <c r="F90" t="inlineStr">
        <is>
          <t>VÄSTMANLANDS LÄN</t>
        </is>
      </c>
      <c r="G90" t="inlineStr">
        <is>
          <t>NORBERG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45613</v>
      </c>
      <c r="E91" s="1" t="n">
        <v>46311</v>
      </c>
      <c r="F91" t="inlineStr">
        <is>
          <t>VÄSTMANLANDS LÄN</t>
        </is>
      </c>
      <c r="G91" t="inlineStr">
        <is>
          <t>NORBERG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51793-2024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46311</v>
      </c>
      <c r="F92" t="inlineStr">
        <is>
          <t>VÄSTMANLANDS LÄN</t>
        </is>
      </c>
      <c r="G92" t="inlineStr">
        <is>
          <t>NORBERG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45363</v>
      </c>
      <c r="E93" s="1" t="n">
        <v>46311</v>
      </c>
      <c r="F93" t="inlineStr">
        <is>
          <t>VÄSTMANLANDS LÄN</t>
        </is>
      </c>
      <c r="G93" t="inlineStr">
        <is>
          <t>NORBERG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46311</v>
      </c>
      <c r="F94" t="inlineStr">
        <is>
          <t>VÄSTMANLANDS LÄN</t>
        </is>
      </c>
      <c r="G94" t="inlineStr">
        <is>
          <t>NORBERG</t>
        </is>
      </c>
      <c r="H94" t="inlineStr">
        <is>
          <t>Bergvik skog väst AB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45554</v>
      </c>
      <c r="E95" s="1" t="n">
        <v>46311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45232</v>
      </c>
      <c r="E96" s="1" t="n">
        <v>46311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40140-2023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45169</v>
      </c>
      <c r="E97" s="1" t="n">
        <v>46311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45598</v>
      </c>
      <c r="E98" s="1" t="n">
        <v>46311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45639</v>
      </c>
      <c r="E99" s="1" t="n">
        <v>46311</v>
      </c>
      <c r="F99" t="inlineStr">
        <is>
          <t>VÄSTMANLANDS LÄN</t>
        </is>
      </c>
      <c r="G99" t="inlineStr">
        <is>
          <t>NORBERG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45408</v>
      </c>
      <c r="E100" s="1" t="n">
        <v>46311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45631</v>
      </c>
      <c r="E101" s="1" t="n">
        <v>46311</v>
      </c>
      <c r="F101" t="inlineStr">
        <is>
          <t>VÄSTMANLANDS LÄN</t>
        </is>
      </c>
      <c r="G101" t="inlineStr">
        <is>
          <t>NORBERG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20968-2026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46142</v>
      </c>
      <c r="E102" s="1" t="n">
        <v>46311</v>
      </c>
      <c r="F102" t="inlineStr">
        <is>
          <t>VÄSTMANLANDS LÄN</t>
        </is>
      </c>
      <c r="G102" t="inlineStr">
        <is>
          <t>NORBERG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45699</v>
      </c>
      <c r="E103" s="1" t="n">
        <v>46311</v>
      </c>
      <c r="F103" t="inlineStr">
        <is>
          <t>VÄSTMANLANDS LÄN</t>
        </is>
      </c>
      <c r="G103" t="inlineStr">
        <is>
          <t>NORBERG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46311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45169</v>
      </c>
      <c r="E105" s="1" t="n">
        <v>46311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46146</v>
      </c>
      <c r="E106" s="1" t="n">
        <v>46311</v>
      </c>
      <c r="F106" t="inlineStr">
        <is>
          <t>VÄSTMANLANDS LÄN</t>
        </is>
      </c>
      <c r="G106" t="inlineStr">
        <is>
          <t>NORBERG</t>
        </is>
      </c>
      <c r="H106" t="inlineStr">
        <is>
          <t>Bergvik skog väst AB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46148</v>
      </c>
      <c r="E107" s="1" t="n">
        <v>46311</v>
      </c>
      <c r="F107" t="inlineStr">
        <is>
          <t>VÄSTMANLANDS LÄN</t>
        </is>
      </c>
      <c r="G107" t="inlineStr">
        <is>
          <t>NORBERG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46148</v>
      </c>
      <c r="E108" s="1" t="n">
        <v>46311</v>
      </c>
      <c r="F108" t="inlineStr">
        <is>
          <t>VÄSTMANLANDS LÄN</t>
        </is>
      </c>
      <c r="G108" t="inlineStr">
        <is>
          <t>NORBERG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45705</v>
      </c>
      <c r="E109" s="1" t="n">
        <v>46311</v>
      </c>
      <c r="F109" t="inlineStr">
        <is>
          <t>VÄSTMANLANDS LÄN</t>
        </is>
      </c>
      <c r="G109" t="inlineStr">
        <is>
          <t>NORBERG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46149</v>
      </c>
      <c r="E110" s="1" t="n">
        <v>46311</v>
      </c>
      <c r="F110" t="inlineStr">
        <is>
          <t>VÄSTMANLANDS LÄN</t>
        </is>
      </c>
      <c r="G110" t="inlineStr">
        <is>
          <t>NORBERG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46311</v>
      </c>
      <c r="F111" t="inlineStr">
        <is>
          <t>VÄSTMANLANDS LÄN</t>
        </is>
      </c>
      <c r="G111" t="inlineStr">
        <is>
          <t>NORBERG</t>
        </is>
      </c>
      <c r="H111" t="inlineStr">
        <is>
          <t>Övriga Aktiebolag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73797-2021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44552</v>
      </c>
      <c r="E112" s="1" t="n">
        <v>46311</v>
      </c>
      <c r="F112" t="inlineStr">
        <is>
          <t>VÄSTMANLANDS LÄN</t>
        </is>
      </c>
      <c r="G112" t="inlineStr">
        <is>
          <t>NORBERG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46311</v>
      </c>
      <c r="F113" t="inlineStr">
        <is>
          <t>VÄSTMANLANDS LÄN</t>
        </is>
      </c>
      <c r="G113" t="inlineStr">
        <is>
          <t>NORBERG</t>
        </is>
      </c>
      <c r="H113" t="inlineStr">
        <is>
          <t>Bergvik skog väst AB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45679</v>
      </c>
      <c r="E114" s="1" t="n">
        <v>46311</v>
      </c>
      <c r="F114" t="inlineStr">
        <is>
          <t>VÄSTMANLANDS LÄN</t>
        </is>
      </c>
      <c r="G114" t="inlineStr">
        <is>
          <t>NORBERG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46311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46311</v>
      </c>
      <c r="F116" t="inlineStr">
        <is>
          <t>VÄSTMANLANDS LÄN</t>
        </is>
      </c>
      <c r="G116" t="inlineStr">
        <is>
          <t>NORBERG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53030-2023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45226</v>
      </c>
      <c r="E117" s="1" t="n">
        <v>46311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12526-2025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46311</v>
      </c>
      <c r="F118" t="inlineStr">
        <is>
          <t>VÄSTMANLANDS LÄN</t>
        </is>
      </c>
      <c r="G118" t="inlineStr">
        <is>
          <t>NORBERG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56400-2025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45974</v>
      </c>
      <c r="E119" s="1" t="n">
        <v>46311</v>
      </c>
      <c r="F119" t="inlineStr">
        <is>
          <t>VÄSTMANLANDS LÄN</t>
        </is>
      </c>
      <c r="G119" t="inlineStr">
        <is>
          <t>NORBERG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45049</v>
      </c>
      <c r="E120" s="1" t="n">
        <v>46311</v>
      </c>
      <c r="F120" t="inlineStr">
        <is>
          <t>VÄSTMANLANDS LÄN</t>
        </is>
      </c>
      <c r="G120" t="inlineStr">
        <is>
          <t>NORBERG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45631</v>
      </c>
      <c r="E121" s="1" t="n">
        <v>46311</v>
      </c>
      <c r="F121" t="inlineStr">
        <is>
          <t>VÄSTMANLANDS LÄN</t>
        </is>
      </c>
      <c r="G121" t="inlineStr">
        <is>
          <t>NORBERG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63505-2023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45274</v>
      </c>
      <c r="E122" s="1" t="n">
        <v>46311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46311</v>
      </c>
      <c r="F123" t="inlineStr">
        <is>
          <t>VÄSTMANLANDS LÄN</t>
        </is>
      </c>
      <c r="G123" t="inlineStr">
        <is>
          <t>NORBERG</t>
        </is>
      </c>
      <c r="H123" t="inlineStr">
        <is>
          <t>Övriga Aktiebolag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46311</v>
      </c>
      <c r="F124" t="inlineStr">
        <is>
          <t>VÄSTMANLANDS LÄN</t>
        </is>
      </c>
      <c r="G124" t="inlineStr">
        <is>
          <t>NORBERG</t>
        </is>
      </c>
      <c r="H124" t="inlineStr">
        <is>
          <t>Övriga Aktiebolag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25331-2026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46176</v>
      </c>
      <c r="E125" s="1" t="n">
        <v>46311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45001</v>
      </c>
      <c r="E126" s="1" t="n">
        <v>46311</v>
      </c>
      <c r="F126" t="inlineStr">
        <is>
          <t>VÄSTMANLANDS LÄN</t>
        </is>
      </c>
      <c r="G126" t="inlineStr">
        <is>
          <t>NORBERG</t>
        </is>
      </c>
      <c r="I126" t="n">
        <v>22.4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46311</v>
      </c>
      <c r="F127" t="inlineStr">
        <is>
          <t>VÄSTMANLANDS LÄN</t>
        </is>
      </c>
      <c r="G127" t="inlineStr">
        <is>
          <t>NORBERG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45200</v>
      </c>
      <c r="E128" s="1" t="n">
        <v>46311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46311</v>
      </c>
      <c r="F129" t="inlineStr">
        <is>
          <t>VÄSTMANLANDS LÄN</t>
        </is>
      </c>
      <c r="G129" t="inlineStr">
        <is>
          <t>NORBERG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48997-2025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46311</v>
      </c>
      <c r="F130" t="inlineStr">
        <is>
          <t>VÄSTMANLANDS LÄN</t>
        </is>
      </c>
      <c r="G130" t="inlineStr">
        <is>
          <t>NORBERG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46311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13.7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27475-2026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46189</v>
      </c>
      <c r="E132" s="1" t="n">
        <v>46311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46190</v>
      </c>
      <c r="E133" s="1" t="n">
        <v>46311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45560</v>
      </c>
      <c r="E134" s="1" t="n">
        <v>46311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46153</v>
      </c>
      <c r="E135" s="1" t="n">
        <v>46311</v>
      </c>
      <c r="F135" t="inlineStr">
        <is>
          <t>VÄSTMANLANDS LÄN</t>
        </is>
      </c>
      <c r="G135" t="inlineStr">
        <is>
          <t>NORBERG</t>
        </is>
      </c>
      <c r="H135" t="inlineStr">
        <is>
          <t>Övriga Aktiebolag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45056</v>
      </c>
      <c r="E136" s="1" t="n">
        <v>46311</v>
      </c>
      <c r="F136" t="inlineStr">
        <is>
          <t>VÄSTMANLANDS LÄN</t>
        </is>
      </c>
      <c r="G136" t="inlineStr">
        <is>
          <t>NORBERG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45233</v>
      </c>
      <c r="E137" s="1" t="n">
        <v>46311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46223</v>
      </c>
      <c r="E138" s="1" t="n">
        <v>46311</v>
      </c>
      <c r="F138" t="inlineStr">
        <is>
          <t>VÄSTMANLANDS LÄN</t>
        </is>
      </c>
      <c r="G138" t="inlineStr">
        <is>
          <t>NORBERG</t>
        </is>
      </c>
      <c r="I138" t="n">
        <v>9.800000000000001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24540-2022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44727</v>
      </c>
      <c r="E139" s="1" t="n">
        <v>46311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47753-2024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45588</v>
      </c>
      <c r="E140" s="1" t="n">
        <v>46311</v>
      </c>
      <c r="F140" t="inlineStr">
        <is>
          <t>VÄSTMANLANDS LÄN</t>
        </is>
      </c>
      <c r="G140" t="inlineStr">
        <is>
          <t>NORBERG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46311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46197</v>
      </c>
      <c r="E142" s="1" t="n">
        <v>46311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46311</v>
      </c>
      <c r="F143" t="inlineStr">
        <is>
          <t>VÄSTMANLANDS LÄN</t>
        </is>
      </c>
      <c r="G143" t="inlineStr">
        <is>
          <t>NORBERG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31967-2026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46232</v>
      </c>
      <c r="E144" s="1" t="n">
        <v>46311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45179</v>
      </c>
      <c r="E145" s="1" t="n">
        <v>46311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51790-2024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45607</v>
      </c>
      <c r="E146" s="1" t="n">
        <v>46311</v>
      </c>
      <c r="F146" t="inlineStr">
        <is>
          <t>VÄSTMANLANDS LÄN</t>
        </is>
      </c>
      <c r="G146" t="inlineStr">
        <is>
          <t>NORBERG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31972-2026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46232</v>
      </c>
      <c r="E147" s="1" t="n">
        <v>46311</v>
      </c>
      <c r="F147" t="inlineStr">
        <is>
          <t>VÄSTMANLANDS LÄN</t>
        </is>
      </c>
      <c r="G147" t="inlineStr">
        <is>
          <t>NORBERG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19377-2025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45769</v>
      </c>
      <c r="E148" s="1" t="n">
        <v>46311</v>
      </c>
      <c r="F148" t="inlineStr">
        <is>
          <t>VÄSTMANLANDS LÄN</t>
        </is>
      </c>
      <c r="G148" t="inlineStr">
        <is>
          <t>NORBERG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46233</v>
      </c>
      <c r="E149" s="1" t="n">
        <v>46311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46311</v>
      </c>
      <c r="F150" t="inlineStr">
        <is>
          <t>VÄSTMANLANDS LÄN</t>
        </is>
      </c>
      <c r="G150" t="inlineStr">
        <is>
          <t>NORBERG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32385-2026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46238</v>
      </c>
      <c r="E151" s="1" t="n">
        <v>46311</v>
      </c>
      <c r="F151" t="inlineStr">
        <is>
          <t>VÄSTMANLANDS LÄN</t>
        </is>
      </c>
      <c r="G151" t="inlineStr">
        <is>
          <t>NORBERG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45978</v>
      </c>
      <c r="E152" s="1" t="n">
        <v>46311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45567</v>
      </c>
      <c r="E153" s="1" t="n">
        <v>46311</v>
      </c>
      <c r="F153" t="inlineStr">
        <is>
          <t>VÄSTMANLANDS LÄN</t>
        </is>
      </c>
      <c r="G153" t="inlineStr">
        <is>
          <t>NORBERG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46311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44691</v>
      </c>
      <c r="E155" s="1" t="n">
        <v>46311</v>
      </c>
      <c r="F155" t="inlineStr">
        <is>
          <t>VÄSTMANLANDS LÄN</t>
        </is>
      </c>
      <c r="G155" t="inlineStr">
        <is>
          <t>NORBERG</t>
        </is>
      </c>
      <c r="H155" t="inlineStr">
        <is>
          <t>Övriga Aktiebolag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45729</v>
      </c>
      <c r="E156" s="1" t="n">
        <v>46311</v>
      </c>
      <c r="F156" t="inlineStr">
        <is>
          <t>VÄSTMANLANDS LÄN</t>
        </is>
      </c>
      <c r="G156" t="inlineStr">
        <is>
          <t>NORBERG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46246</v>
      </c>
      <c r="E157" s="1" t="n">
        <v>46311</v>
      </c>
      <c r="F157" t="inlineStr">
        <is>
          <t>VÄSTMANLANDS LÄN</t>
        </is>
      </c>
      <c r="G157" t="inlineStr">
        <is>
          <t>NORBERG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45597</v>
      </c>
      <c r="E158" s="1" t="n">
        <v>46311</v>
      </c>
      <c r="F158" t="inlineStr">
        <is>
          <t>VÄSTMANLANDS LÄN</t>
        </is>
      </c>
      <c r="G158" t="inlineStr">
        <is>
          <t>NORBERG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45034</v>
      </c>
      <c r="E159" s="1" t="n">
        <v>46311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8.1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45586</v>
      </c>
      <c r="E160" s="1" t="n">
        <v>46311</v>
      </c>
      <c r="F160" t="inlineStr">
        <is>
          <t>VÄSTMANLANDS LÄN</t>
        </is>
      </c>
      <c r="G160" t="inlineStr">
        <is>
          <t>NORBERG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46247</v>
      </c>
      <c r="E161" s="1" t="n">
        <v>46311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44992</v>
      </c>
      <c r="E162" s="1" t="n">
        <v>46311</v>
      </c>
      <c r="F162" t="inlineStr">
        <is>
          <t>VÄSTMANLANDS LÄN</t>
        </is>
      </c>
      <c r="G162" t="inlineStr">
        <is>
          <t>NORBERG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59527-2025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46311</v>
      </c>
      <c r="F163" t="inlineStr">
        <is>
          <t>VÄSTMANLANDS LÄN</t>
        </is>
      </c>
      <c r="G163" t="inlineStr">
        <is>
          <t>NORBERG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45191</v>
      </c>
      <c r="E164" s="1" t="n">
        <v>46311</v>
      </c>
      <c r="F164" t="inlineStr">
        <is>
          <t>VÄSTMANLANDS LÄN</t>
        </is>
      </c>
      <c r="G164" t="inlineStr">
        <is>
          <t>NORBERG</t>
        </is>
      </c>
      <c r="H164" t="inlineStr">
        <is>
          <t>Bergvik skog väst AB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45964</v>
      </c>
      <c r="E165" s="1" t="n">
        <v>46311</v>
      </c>
      <c r="F165" t="inlineStr">
        <is>
          <t>VÄSTMANLANDS LÄN</t>
        </is>
      </c>
      <c r="G165" t="inlineStr">
        <is>
          <t>NORBERG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46311</v>
      </c>
      <c r="F166" t="inlineStr">
        <is>
          <t>VÄSTMANLANDS LÄN</t>
        </is>
      </c>
      <c r="G166" t="inlineStr">
        <is>
          <t>NORBERG</t>
        </is>
      </c>
      <c r="H166" t="inlineStr">
        <is>
          <t>Bergvik skog väst AB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46253</v>
      </c>
      <c r="E167" s="1" t="n">
        <v>46311</v>
      </c>
      <c r="F167" t="inlineStr">
        <is>
          <t>VÄSTMANLANDS LÄN</t>
        </is>
      </c>
      <c r="G167" t="inlineStr">
        <is>
          <t>NORBERG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46311</v>
      </c>
      <c r="F168" t="inlineStr">
        <is>
          <t>VÄSTMANLANDS LÄN</t>
        </is>
      </c>
      <c r="G168" t="inlineStr">
        <is>
          <t>NORBERG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46311</v>
      </c>
      <c r="F169" t="inlineStr">
        <is>
          <t>VÄSTMANLANDS LÄN</t>
        </is>
      </c>
      <c r="G169" t="inlineStr">
        <is>
          <t>NORBERG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13465-2026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46093</v>
      </c>
      <c r="E170" s="1" t="n">
        <v>46311</v>
      </c>
      <c r="F170" t="inlineStr">
        <is>
          <t>VÄSTMANLANDS LÄN</t>
        </is>
      </c>
      <c r="G170" t="inlineStr">
        <is>
          <t>NORBERG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46311</v>
      </c>
      <c r="F171" t="inlineStr">
        <is>
          <t>VÄSTMANLANDS LÄN</t>
        </is>
      </c>
      <c r="G171" t="inlineStr">
        <is>
          <t>NORBERG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45454</v>
      </c>
      <c r="E172" s="1" t="n">
        <v>46311</v>
      </c>
      <c r="F172" t="inlineStr">
        <is>
          <t>VÄSTMANLANDS LÄN</t>
        </is>
      </c>
      <c r="G172" t="inlineStr">
        <is>
          <t>NORBERG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46311</v>
      </c>
      <c r="F173" t="inlineStr">
        <is>
          <t>VÄSTMANLANDS LÄN</t>
        </is>
      </c>
      <c r="G173" t="inlineStr">
        <is>
          <t>NORBERG</t>
        </is>
      </c>
      <c r="H173" t="inlineStr">
        <is>
          <t>Övriga Aktiebolag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45792</v>
      </c>
      <c r="E174" s="1" t="n">
        <v>46311</v>
      </c>
      <c r="F174" t="inlineStr">
        <is>
          <t>VÄSTMANLANDS LÄN</t>
        </is>
      </c>
      <c r="G174" t="inlineStr">
        <is>
          <t>NORBERG</t>
        </is>
      </c>
      <c r="H174" t="inlineStr">
        <is>
          <t>Övriga Aktiebolag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46014</v>
      </c>
      <c r="E175" s="1" t="n">
        <v>46311</v>
      </c>
      <c r="F175" t="inlineStr">
        <is>
          <t>VÄSTMANLANDS LÄN</t>
        </is>
      </c>
      <c r="G175" t="inlineStr">
        <is>
          <t>NORBERG</t>
        </is>
      </c>
      <c r="I175" t="n">
        <v>22.8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46014</v>
      </c>
      <c r="E176" s="1" t="n">
        <v>46311</v>
      </c>
      <c r="F176" t="inlineStr">
        <is>
          <t>VÄSTMANLANDS LÄN</t>
        </is>
      </c>
      <c r="G176" t="inlineStr">
        <is>
          <t>NORBERG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46311</v>
      </c>
      <c r="F177" t="inlineStr">
        <is>
          <t>VÄSTMANLANDS LÄN</t>
        </is>
      </c>
      <c r="G177" t="inlineStr">
        <is>
          <t>NORBERG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34832-2026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46311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45274</v>
      </c>
      <c r="E179" s="1" t="n">
        <v>46311</v>
      </c>
      <c r="F179" t="inlineStr">
        <is>
          <t>VÄSTMANLANDS LÄN</t>
        </is>
      </c>
      <c r="G179" t="inlineStr">
        <is>
          <t>NORBERG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45290-2024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45576</v>
      </c>
      <c r="E180" s="1" t="n">
        <v>46311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9.300000000000001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46303</v>
      </c>
      <c r="E181" s="1" t="n">
        <v>46311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46303</v>
      </c>
      <c r="E182" s="1" t="n">
        <v>46311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46303</v>
      </c>
      <c r="E183" s="1" t="n">
        <v>46311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46311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46311</v>
      </c>
      <c r="F185" t="inlineStr">
        <is>
          <t>VÄSTMANLANDS LÄN</t>
        </is>
      </c>
      <c r="G185" t="inlineStr">
        <is>
          <t>NORBERG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13471-2026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46311</v>
      </c>
      <c r="F186" t="inlineStr">
        <is>
          <t>VÄSTMANLANDS LÄN</t>
        </is>
      </c>
      <c r="G186" t="inlineStr">
        <is>
          <t>NORBERG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46311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23702-2024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45454</v>
      </c>
      <c r="E188" s="1" t="n">
        <v>46311</v>
      </c>
      <c r="F188" t="inlineStr">
        <is>
          <t>VÄSTMANLANDS LÄN</t>
        </is>
      </c>
      <c r="G188" t="inlineStr">
        <is>
          <t>NORBERG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46268</v>
      </c>
      <c r="E189" s="1" t="n">
        <v>46311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60339-2025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45994</v>
      </c>
      <c r="E190" s="1" t="n">
        <v>46311</v>
      </c>
      <c r="F190" t="inlineStr">
        <is>
          <t>VÄSTMANLANDS LÄN</t>
        </is>
      </c>
      <c r="G190" t="inlineStr">
        <is>
          <t>NORBERG</t>
        </is>
      </c>
      <c r="H190" t="inlineStr">
        <is>
          <t>Kommuner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46311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36013-2026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46266</v>
      </c>
      <c r="E192" s="1" t="n">
        <v>46311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46311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46311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46311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2026-10-16T02:15:38Z</dcterms:created>
  <dcterms:modified xmlns:dcterms="http://purl.org/dc/terms/" xmlns:xsi="http://www.w3.org/2001/XMLSchema-instance" xsi:type="dcterms:W3CDTF">2026-10-16T02:15:38Z</dcterms:modified>
</cp:coreProperties>
</file>