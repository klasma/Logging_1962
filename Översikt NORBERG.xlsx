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45566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45566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45566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45566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45566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45566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45566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45566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45566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33377-2023</t>
        </is>
      </c>
      <c r="B13" s="1" t="n">
        <v>45128</v>
      </c>
      <c r="C13" s="1" t="n">
        <v>45566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Gul taggsvamp</t>
        </is>
      </c>
      <c r="S13">
        <f>HYPERLINK("https://klasma.github.io/Logging_1962/artfynd/A 33377-2023 artfynd.xlsx", "A 33377-2023")</f>
        <v/>
      </c>
      <c r="T13">
        <f>HYPERLINK("https://klasma.github.io/Logging_1962/kartor/A 33377-2023 karta.png", "A 33377-2023")</f>
        <v/>
      </c>
      <c r="V13">
        <f>HYPERLINK("https://klasma.github.io/Logging_1962/klagomål/A 33377-2023 FSC-klagomål.docx", "A 33377-2023")</f>
        <v/>
      </c>
      <c r="W13">
        <f>HYPERLINK("https://klasma.github.io/Logging_1962/klagomålsmail/A 33377-2023 FSC-klagomål mail.docx", "A 33377-2023")</f>
        <v/>
      </c>
      <c r="X13">
        <f>HYPERLINK("https://klasma.github.io/Logging_1962/tillsyn/A 33377-2023 tillsynsbegäran.docx", "A 33377-2023")</f>
        <v/>
      </c>
      <c r="Y13">
        <f>HYPERLINK("https://klasma.github.io/Logging_1962/tillsynsmail/A 33377-2023 tillsynsbegäran mail.docx", "A 33377-2023")</f>
        <v/>
      </c>
    </row>
    <row r="14" ht="15" customHeight="1">
      <c r="A14" t="inlineStr">
        <is>
          <t>A 42196-2023</t>
        </is>
      </c>
      <c r="B14" s="1" t="n">
        <v>45179</v>
      </c>
      <c r="C14" s="1" t="n">
        <v>45566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HYPERLINK("https://klasma.github.io/Logging_1962/artfynd/A 42196-2023 artfynd.xlsx", "A 42196-2023")</f>
        <v/>
      </c>
      <c r="T14">
        <f>HYPERLINK("https://klasma.github.io/Logging_1962/kartor/A 42196-2023 karta.png", "A 42196-2023")</f>
        <v/>
      </c>
      <c r="V14">
        <f>HYPERLINK("https://klasma.github.io/Logging_1962/klagomål/A 42196-2023 FSC-klagomål.docx", "A 42196-2023")</f>
        <v/>
      </c>
      <c r="W14">
        <f>HYPERLINK("https://klasma.github.io/Logging_1962/klagomålsmail/A 42196-2023 FSC-klagomål mail.docx", "A 42196-2023")</f>
        <v/>
      </c>
      <c r="X14">
        <f>HYPERLINK("https://klasma.github.io/Logging_1962/tillsyn/A 42196-2023 tillsynsbegäran.docx", "A 42196-2023")</f>
        <v/>
      </c>
      <c r="Y14">
        <f>HYPERLINK("https://klasma.github.io/Logging_1962/tillsynsmail/A 42196-2023 tillsynsbegäran mail.docx", "A 42196-2023")</f>
        <v/>
      </c>
    </row>
    <row r="15" ht="15" customHeight="1">
      <c r="A15" t="inlineStr">
        <is>
          <t>A 46028-2023</t>
        </is>
      </c>
      <c r="B15" s="1" t="n">
        <v>45196</v>
      </c>
      <c r="C15" s="1" t="n">
        <v>45566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7.5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Norrlandsspindling
Dofttaggsvamp</t>
        </is>
      </c>
      <c r="S15">
        <f>HYPERLINK("https://klasma.github.io/Logging_1962/artfynd/A 46028-2023 artfynd.xlsx", "A 46028-2023")</f>
        <v/>
      </c>
      <c r="T15">
        <f>HYPERLINK("https://klasma.github.io/Logging_1962/kartor/A 46028-2023 karta.png", "A 46028-2023")</f>
        <v/>
      </c>
      <c r="V15">
        <f>HYPERLINK("https://klasma.github.io/Logging_1962/klagomål/A 46028-2023 FSC-klagomål.docx", "A 46028-2023")</f>
        <v/>
      </c>
      <c r="W15">
        <f>HYPERLINK("https://klasma.github.io/Logging_1962/klagomålsmail/A 46028-2023 FSC-klagomål mail.docx", "A 46028-2023")</f>
        <v/>
      </c>
      <c r="X15">
        <f>HYPERLINK("https://klasma.github.io/Logging_1962/tillsyn/A 46028-2023 tillsynsbegäran.docx", "A 46028-2023")</f>
        <v/>
      </c>
      <c r="Y15">
        <f>HYPERLINK("https://klasma.github.io/Logging_1962/tillsynsmail/A 46028-2023 tillsynsbegäran mail.docx", "A 46028-2023")</f>
        <v/>
      </c>
    </row>
    <row r="16" ht="15" customHeight="1">
      <c r="A16" t="inlineStr">
        <is>
          <t>A 59891-2019</t>
        </is>
      </c>
      <c r="B16" s="1" t="n">
        <v>43774</v>
      </c>
      <c r="C16" s="1" t="n">
        <v>45566</v>
      </c>
      <c r="D16" t="inlineStr">
        <is>
          <t>VÄSTMANLANDS LÄN</t>
        </is>
      </c>
      <c r="E16" t="inlineStr">
        <is>
          <t>NORBERG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HYPERLINK("https://klasma.github.io/Logging_1962/artfynd/A 59891-2019 artfynd.xlsx", "A 59891-2019")</f>
        <v/>
      </c>
      <c r="T16">
        <f>HYPERLINK("https://klasma.github.io/Logging_1962/kartor/A 59891-2019 karta.png", "A 59891-2019")</f>
        <v/>
      </c>
      <c r="V16">
        <f>HYPERLINK("https://klasma.github.io/Logging_1962/klagomål/A 59891-2019 FSC-klagomål.docx", "A 59891-2019")</f>
        <v/>
      </c>
      <c r="W16">
        <f>HYPERLINK("https://klasma.github.io/Logging_1962/klagomålsmail/A 59891-2019 FSC-klagomål mail.docx", "A 59891-2019")</f>
        <v/>
      </c>
      <c r="X16">
        <f>HYPERLINK("https://klasma.github.io/Logging_1962/tillsyn/A 59891-2019 tillsynsbegäran.docx", "A 59891-2019")</f>
        <v/>
      </c>
      <c r="Y16">
        <f>HYPERLINK("https://klasma.github.io/Logging_1962/tillsynsmail/A 59891-2019 tillsynsbegäran mail.docx", "A 59891-2019")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45566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45566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45566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45566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  <c r="Z20">
        <f>HYPERLINK("https://klasma.github.io/Logging_1962/fåglar/A 41745-2022 prioriterade fågelarter.docx",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45566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45566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45566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42194-2023</t>
        </is>
      </c>
      <c r="B24" s="1" t="n">
        <v>45179</v>
      </c>
      <c r="C24" s="1" t="n">
        <v>45566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HYPERLINK("https://klasma.github.io/Logging_1962/artfynd/A 42194-2023 artfynd.xlsx", "A 42194-2023")</f>
        <v/>
      </c>
      <c r="T24">
        <f>HYPERLINK("https://klasma.github.io/Logging_1962/kartor/A 42194-2023 karta.png", "A 42194-2023")</f>
        <v/>
      </c>
      <c r="V24">
        <f>HYPERLINK("https://klasma.github.io/Logging_1962/klagomål/A 42194-2023 FSC-klagomål.docx", "A 42194-2023")</f>
        <v/>
      </c>
      <c r="W24">
        <f>HYPERLINK("https://klasma.github.io/Logging_1962/klagomålsmail/A 42194-2023 FSC-klagomål mail.docx", "A 42194-2023")</f>
        <v/>
      </c>
      <c r="X24">
        <f>HYPERLINK("https://klasma.github.io/Logging_1962/tillsyn/A 42194-2023 tillsynsbegäran.docx", "A 42194-2023")</f>
        <v/>
      </c>
      <c r="Y24">
        <f>HYPERLINK("https://klasma.github.io/Logging_1962/tillsynsmail/A 42194-2023 tillsynsbegäran mail.docx", "A 42194-2023")</f>
        <v/>
      </c>
    </row>
    <row r="25" ht="15" customHeight="1">
      <c r="A25" t="inlineStr">
        <is>
          <t>A 20096-2019</t>
        </is>
      </c>
      <c r="B25" s="1" t="n">
        <v>43570</v>
      </c>
      <c r="C25" s="1" t="n">
        <v>45566</v>
      </c>
      <c r="D25" t="inlineStr">
        <is>
          <t>VÄSTMANLANDS LÄN</t>
        </is>
      </c>
      <c r="E25" t="inlineStr">
        <is>
          <t>NORBERG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21396-2019</t>
        </is>
      </c>
      <c r="B26" s="1" t="n">
        <v>43580</v>
      </c>
      <c r="C26" s="1" t="n">
        <v>45566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21392-2019</t>
        </is>
      </c>
      <c r="B27" s="1" t="n">
        <v>43580</v>
      </c>
      <c r="C27" s="1" t="n">
        <v>45566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21859-2019</t>
        </is>
      </c>
      <c r="B28" s="1" t="n">
        <v>43584</v>
      </c>
      <c r="C28" s="1" t="n">
        <v>45566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23153-2019</t>
        </is>
      </c>
      <c r="B29" s="1" t="n">
        <v>43588</v>
      </c>
      <c r="C29" s="1" t="n">
        <v>45566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22947-2019</t>
        </is>
      </c>
      <c r="B30" s="1" t="n">
        <v>43591</v>
      </c>
      <c r="C30" s="1" t="n">
        <v>45566</v>
      </c>
      <c r="D30" t="inlineStr">
        <is>
          <t>VÄSTMANLANDS LÄN</t>
        </is>
      </c>
      <c r="E30" t="inlineStr">
        <is>
          <t>NORBERG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22953-2019</t>
        </is>
      </c>
      <c r="B31" s="1" t="n">
        <v>43591</v>
      </c>
      <c r="C31" s="1" t="n">
        <v>45566</v>
      </c>
      <c r="D31" t="inlineStr">
        <is>
          <t>VÄSTMANLANDS LÄN</t>
        </is>
      </c>
      <c r="E31" t="inlineStr">
        <is>
          <t>NORBERG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23592-2019</t>
        </is>
      </c>
      <c r="B32" s="1" t="n">
        <v>43593</v>
      </c>
      <c r="C32" s="1" t="n">
        <v>45566</v>
      </c>
      <c r="D32" t="inlineStr">
        <is>
          <t>VÄSTMANLANDS LÄN</t>
        </is>
      </c>
      <c r="E32" t="inlineStr">
        <is>
          <t>NORBERG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28170-2019</t>
        </is>
      </c>
      <c r="B33" s="1" t="n">
        <v>43621</v>
      </c>
      <c r="C33" s="1" t="n">
        <v>45566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28136-2019</t>
        </is>
      </c>
      <c r="B34" s="1" t="n">
        <v>43621</v>
      </c>
      <c r="C34" s="1" t="n">
        <v>45566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29832-2019</t>
        </is>
      </c>
      <c r="B35" s="1" t="n">
        <v>43629</v>
      </c>
      <c r="C35" s="1" t="n">
        <v>45566</v>
      </c>
      <c r="D35" t="inlineStr">
        <is>
          <t>VÄSTMANLANDS LÄN</t>
        </is>
      </c>
      <c r="E35" t="inlineStr">
        <is>
          <t>NORBERG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29961-2019</t>
        </is>
      </c>
      <c r="B36" s="1" t="n">
        <v>43633</v>
      </c>
      <c r="C36" s="1" t="n">
        <v>45566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31029-2019</t>
        </is>
      </c>
      <c r="B37" s="1" t="n">
        <v>43635</v>
      </c>
      <c r="C37" s="1" t="n">
        <v>45566</v>
      </c>
      <c r="D37" t="inlineStr">
        <is>
          <t>VÄSTMANLANDS LÄN</t>
        </is>
      </c>
      <c r="E37" t="inlineStr">
        <is>
          <t>NORBERG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31748-2019</t>
        </is>
      </c>
      <c r="B38" s="1" t="n">
        <v>43642</v>
      </c>
      <c r="C38" s="1" t="n">
        <v>45566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32245-2019</t>
        </is>
      </c>
      <c r="B39" s="1" t="n">
        <v>43643</v>
      </c>
      <c r="C39" s="1" t="n">
        <v>45566</v>
      </c>
      <c r="D39" t="inlineStr">
        <is>
          <t>VÄSTMANLANDS LÄN</t>
        </is>
      </c>
      <c r="E39" t="inlineStr">
        <is>
          <t>NORBERG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35074-2019</t>
        </is>
      </c>
      <c r="B40" s="1" t="n">
        <v>43661</v>
      </c>
      <c r="C40" s="1" t="n">
        <v>45566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37524-2019</t>
        </is>
      </c>
      <c r="B41" s="1" t="n">
        <v>43679</v>
      </c>
      <c r="C41" s="1" t="n">
        <v>45566</v>
      </c>
      <c r="D41" t="inlineStr">
        <is>
          <t>VÄSTMANLANDS LÄN</t>
        </is>
      </c>
      <c r="E41" t="inlineStr">
        <is>
          <t>NORBERG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39198-2019</t>
        </is>
      </c>
      <c r="B42" s="1" t="n">
        <v>43685</v>
      </c>
      <c r="C42" s="1" t="n">
        <v>45566</v>
      </c>
      <c r="D42" t="inlineStr">
        <is>
          <t>VÄSTMANLANDS LÄN</t>
        </is>
      </c>
      <c r="E42" t="inlineStr">
        <is>
          <t>NORBERG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45467-2019</t>
        </is>
      </c>
      <c r="B43" s="1" t="n">
        <v>43710</v>
      </c>
      <c r="C43" s="1" t="n">
        <v>45566</v>
      </c>
      <c r="D43" t="inlineStr">
        <is>
          <t>VÄSTMANLANDS LÄN</t>
        </is>
      </c>
      <c r="E43" t="inlineStr">
        <is>
          <t>NORBERG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47217-2019</t>
        </is>
      </c>
      <c r="B44" s="1" t="n">
        <v>43720</v>
      </c>
      <c r="C44" s="1" t="n">
        <v>45566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47197-2019</t>
        </is>
      </c>
      <c r="B45" s="1" t="n">
        <v>43720</v>
      </c>
      <c r="C45" s="1" t="n">
        <v>45566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50359-2019</t>
        </is>
      </c>
      <c r="B46" s="1" t="n">
        <v>43735</v>
      </c>
      <c r="C46" s="1" t="n">
        <v>45566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55079-2019</t>
        </is>
      </c>
      <c r="B47" s="1" t="n">
        <v>43752</v>
      </c>
      <c r="C47" s="1" t="n">
        <v>45566</v>
      </c>
      <c r="D47" t="inlineStr">
        <is>
          <t>VÄSTMANLANDS LÄN</t>
        </is>
      </c>
      <c r="E47" t="inlineStr">
        <is>
          <t>NORBERG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58573-2019</t>
        </is>
      </c>
      <c r="B48" s="1" t="n">
        <v>43766</v>
      </c>
      <c r="C48" s="1" t="n">
        <v>45566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58582-2019</t>
        </is>
      </c>
      <c r="B49" s="1" t="n">
        <v>43766</v>
      </c>
      <c r="C49" s="1" t="n">
        <v>45566</v>
      </c>
      <c r="D49" t="inlineStr">
        <is>
          <t>VÄSTMANLANDS LÄN</t>
        </is>
      </c>
      <c r="E49" t="inlineStr">
        <is>
          <t>NORBERG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58555-2019</t>
        </is>
      </c>
      <c r="B50" s="1" t="n">
        <v>43766</v>
      </c>
      <c r="C50" s="1" t="n">
        <v>45566</v>
      </c>
      <c r="D50" t="inlineStr">
        <is>
          <t>VÄSTMANLANDS LÄN</t>
        </is>
      </c>
      <c r="E50" t="inlineStr">
        <is>
          <t>NORBERG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58579-2019</t>
        </is>
      </c>
      <c r="B51" s="1" t="n">
        <v>43766</v>
      </c>
      <c r="C51" s="1" t="n">
        <v>45566</v>
      </c>
      <c r="D51" t="inlineStr">
        <is>
          <t>VÄSTMANLANDS LÄN</t>
        </is>
      </c>
      <c r="E51" t="inlineStr">
        <is>
          <t>NORBERG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57997-2019</t>
        </is>
      </c>
      <c r="B52" s="1" t="n">
        <v>43769</v>
      </c>
      <c r="C52" s="1" t="n">
        <v>45566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61555-2019</t>
        </is>
      </c>
      <c r="B53" s="1" t="n">
        <v>43784</v>
      </c>
      <c r="C53" s="1" t="n">
        <v>45566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67711-2019</t>
        </is>
      </c>
      <c r="B54" s="1" t="n">
        <v>43810</v>
      </c>
      <c r="C54" s="1" t="n">
        <v>45566</v>
      </c>
      <c r="D54" t="inlineStr">
        <is>
          <t>VÄSTMANLANDS LÄN</t>
        </is>
      </c>
      <c r="E54" t="inlineStr">
        <is>
          <t>NORBERG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1288-2020</t>
        </is>
      </c>
      <c r="B55" s="1" t="n">
        <v>43842</v>
      </c>
      <c r="C55" s="1" t="n">
        <v>45566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4978-2020</t>
        </is>
      </c>
      <c r="B56" s="1" t="n">
        <v>43859</v>
      </c>
      <c r="C56" s="1" t="n">
        <v>45566</v>
      </c>
      <c r="D56" t="inlineStr">
        <is>
          <t>VÄSTMANLANDS LÄN</t>
        </is>
      </c>
      <c r="E56" t="inlineStr">
        <is>
          <t>NORBERG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4951-2020</t>
        </is>
      </c>
      <c r="B57" s="1" t="n">
        <v>43859</v>
      </c>
      <c r="C57" s="1" t="n">
        <v>45566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7735-2020</t>
        </is>
      </c>
      <c r="B58" s="1" t="n">
        <v>43872</v>
      </c>
      <c r="C58" s="1" t="n">
        <v>45566</v>
      </c>
      <c r="D58" t="inlineStr">
        <is>
          <t>VÄSTMANLANDS LÄN</t>
        </is>
      </c>
      <c r="E58" t="inlineStr">
        <is>
          <t>NORBERG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9583-2020</t>
        </is>
      </c>
      <c r="B59" s="1" t="n">
        <v>43881</v>
      </c>
      <c r="C59" s="1" t="n">
        <v>45566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9989-2020</t>
        </is>
      </c>
      <c r="B60" s="1" t="n">
        <v>43882</v>
      </c>
      <c r="C60" s="1" t="n">
        <v>45566</v>
      </c>
      <c r="D60" t="inlineStr">
        <is>
          <t>VÄSTMANLANDS LÄN</t>
        </is>
      </c>
      <c r="E60" t="inlineStr">
        <is>
          <t>NORBERG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10006-2020</t>
        </is>
      </c>
      <c r="B61" s="1" t="n">
        <v>43882</v>
      </c>
      <c r="C61" s="1" t="n">
        <v>45566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10000-2020</t>
        </is>
      </c>
      <c r="B62" s="1" t="n">
        <v>43882</v>
      </c>
      <c r="C62" s="1" t="n">
        <v>45566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10001-2020</t>
        </is>
      </c>
      <c r="B63" s="1" t="n">
        <v>43882</v>
      </c>
      <c r="C63" s="1" t="n">
        <v>45566</v>
      </c>
      <c r="D63" t="inlineStr">
        <is>
          <t>VÄSTMANLANDS LÄN</t>
        </is>
      </c>
      <c r="E63" t="inlineStr">
        <is>
          <t>NORBERG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10783-2020</t>
        </is>
      </c>
      <c r="B64" s="1" t="n">
        <v>43888</v>
      </c>
      <c r="C64" s="1" t="n">
        <v>45566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10917-2020</t>
        </is>
      </c>
      <c r="B65" s="1" t="n">
        <v>43889</v>
      </c>
      <c r="C65" s="1" t="n">
        <v>45566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10905-2020</t>
        </is>
      </c>
      <c r="B66" s="1" t="n">
        <v>43889</v>
      </c>
      <c r="C66" s="1" t="n">
        <v>45566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11629-2020</t>
        </is>
      </c>
      <c r="B67" s="1" t="n">
        <v>43893</v>
      </c>
      <c r="C67" s="1" t="n">
        <v>45566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11826-2020</t>
        </is>
      </c>
      <c r="B68" s="1" t="n">
        <v>43894</v>
      </c>
      <c r="C68" s="1" t="n">
        <v>45566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12621-2020</t>
        </is>
      </c>
      <c r="B69" s="1" t="n">
        <v>43899</v>
      </c>
      <c r="C69" s="1" t="n">
        <v>45566</v>
      </c>
      <c r="D69" t="inlineStr">
        <is>
          <t>VÄSTMANLANDS LÄN</t>
        </is>
      </c>
      <c r="E69" t="inlineStr">
        <is>
          <t>NORBERG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15179-2020</t>
        </is>
      </c>
      <c r="B70" s="1" t="n">
        <v>43913</v>
      </c>
      <c r="C70" s="1" t="n">
        <v>45566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15546-2020</t>
        </is>
      </c>
      <c r="B71" s="1" t="n">
        <v>43914</v>
      </c>
      <c r="C71" s="1" t="n">
        <v>45566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20480-2020</t>
        </is>
      </c>
      <c r="B72" s="1" t="n">
        <v>43948</v>
      </c>
      <c r="C72" s="1" t="n">
        <v>45566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20483-2020</t>
        </is>
      </c>
      <c r="B73" s="1" t="n">
        <v>43948</v>
      </c>
      <c r="C73" s="1" t="n">
        <v>45566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22413-2020</t>
        </is>
      </c>
      <c r="B74" s="1" t="n">
        <v>43963</v>
      </c>
      <c r="C74" s="1" t="n">
        <v>45566</v>
      </c>
      <c r="D74" t="inlineStr">
        <is>
          <t>VÄSTMANLANDS LÄN</t>
        </is>
      </c>
      <c r="E74" t="inlineStr">
        <is>
          <t>NORBERG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23517-2020</t>
        </is>
      </c>
      <c r="B75" s="1" t="n">
        <v>43969</v>
      </c>
      <c r="C75" s="1" t="n">
        <v>45566</v>
      </c>
      <c r="D75" t="inlineStr">
        <is>
          <t>VÄSTMANLANDS LÄN</t>
        </is>
      </c>
      <c r="E75" t="inlineStr">
        <is>
          <t>NORBERG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29606-2020</t>
        </is>
      </c>
      <c r="B76" s="1" t="n">
        <v>44005</v>
      </c>
      <c r="C76" s="1" t="n">
        <v>45566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31719-2020</t>
        </is>
      </c>
      <c r="B77" s="1" t="n">
        <v>44014</v>
      </c>
      <c r="C77" s="1" t="n">
        <v>45566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36173-2020</t>
        </is>
      </c>
      <c r="B78" s="1" t="n">
        <v>44048</v>
      </c>
      <c r="C78" s="1" t="n">
        <v>45566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44363-2020</t>
        </is>
      </c>
      <c r="B79" s="1" t="n">
        <v>44084</v>
      </c>
      <c r="C79" s="1" t="n">
        <v>45566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45800-2020</t>
        </is>
      </c>
      <c r="B80" s="1" t="n">
        <v>44090</v>
      </c>
      <c r="C80" s="1" t="n">
        <v>45566</v>
      </c>
      <c r="D80" t="inlineStr">
        <is>
          <t>VÄSTMANLANDS LÄN</t>
        </is>
      </c>
      <c r="E80" t="inlineStr">
        <is>
          <t>NORBERG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45802-2020</t>
        </is>
      </c>
      <c r="B81" s="1" t="n">
        <v>44090</v>
      </c>
      <c r="C81" s="1" t="n">
        <v>45566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47514-2020</t>
        </is>
      </c>
      <c r="B82" s="1" t="n">
        <v>44098</v>
      </c>
      <c r="C82" s="1" t="n">
        <v>45566</v>
      </c>
      <c r="D82" t="inlineStr">
        <is>
          <t>VÄSTMANLANDS LÄN</t>
        </is>
      </c>
      <c r="E82" t="inlineStr">
        <is>
          <t>NORBERG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52006-2020</t>
        </is>
      </c>
      <c r="B83" s="1" t="n">
        <v>44116</v>
      </c>
      <c r="C83" s="1" t="n">
        <v>45566</v>
      </c>
      <c r="D83" t="inlineStr">
        <is>
          <t>VÄSTMANLANDS LÄN</t>
        </is>
      </c>
      <c r="E83" t="inlineStr">
        <is>
          <t>NORBERG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60161-2020</t>
        </is>
      </c>
      <c r="B84" s="1" t="n">
        <v>44151</v>
      </c>
      <c r="C84" s="1" t="n">
        <v>45566</v>
      </c>
      <c r="D84" t="inlineStr">
        <is>
          <t>VÄSTMANLANDS LÄN</t>
        </is>
      </c>
      <c r="E84" t="inlineStr">
        <is>
          <t>NORBERG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60442-2020</t>
        </is>
      </c>
      <c r="B85" s="1" t="n">
        <v>44151</v>
      </c>
      <c r="C85" s="1" t="n">
        <v>45566</v>
      </c>
      <c r="D85" t="inlineStr">
        <is>
          <t>VÄSTMANLANDS LÄN</t>
        </is>
      </c>
      <c r="E85" t="inlineStr">
        <is>
          <t>NORBERG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63718-2020</t>
        </is>
      </c>
      <c r="B86" s="1" t="n">
        <v>44162</v>
      </c>
      <c r="C86" s="1" t="n">
        <v>45566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64885-2020</t>
        </is>
      </c>
      <c r="B87" s="1" t="n">
        <v>44171</v>
      </c>
      <c r="C87" s="1" t="n">
        <v>45566</v>
      </c>
      <c r="D87" t="inlineStr">
        <is>
          <t>VÄSTMANLANDS LÄN</t>
        </is>
      </c>
      <c r="E87" t="inlineStr">
        <is>
          <t>NORBERG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69514-2020</t>
        </is>
      </c>
      <c r="B88" s="1" t="n">
        <v>44193</v>
      </c>
      <c r="C88" s="1" t="n">
        <v>45566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69450-2020</t>
        </is>
      </c>
      <c r="B89" s="1" t="n">
        <v>44194</v>
      </c>
      <c r="C89" s="1" t="n">
        <v>45566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69590-2020</t>
        </is>
      </c>
      <c r="B90" s="1" t="n">
        <v>44194</v>
      </c>
      <c r="C90" s="1" t="n">
        <v>45566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4183-2021</t>
        </is>
      </c>
      <c r="B91" s="1" t="n">
        <v>44218</v>
      </c>
      <c r="C91" s="1" t="n">
        <v>45566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4471-2021</t>
        </is>
      </c>
      <c r="B92" s="1" t="n">
        <v>44224</v>
      </c>
      <c r="C92" s="1" t="n">
        <v>45566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7642-2021</t>
        </is>
      </c>
      <c r="B93" s="1" t="n">
        <v>44239</v>
      </c>
      <c r="C93" s="1" t="n">
        <v>45566</v>
      </c>
      <c r="D93" t="inlineStr">
        <is>
          <t>VÄSTMANLANDS LÄN</t>
        </is>
      </c>
      <c r="E93" t="inlineStr">
        <is>
          <t>NORBERG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8205-2021</t>
        </is>
      </c>
      <c r="B94" s="1" t="n">
        <v>44244</v>
      </c>
      <c r="C94" s="1" t="n">
        <v>45566</v>
      </c>
      <c r="D94" t="inlineStr">
        <is>
          <t>VÄSTMANLANDS LÄN</t>
        </is>
      </c>
      <c r="E94" t="inlineStr">
        <is>
          <t>NORBERG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10339-2021</t>
        </is>
      </c>
      <c r="B95" s="1" t="n">
        <v>44257</v>
      </c>
      <c r="C95" s="1" t="n">
        <v>45566</v>
      </c>
      <c r="D95" t="inlineStr">
        <is>
          <t>VÄSTMANLANDS LÄN</t>
        </is>
      </c>
      <c r="E95" t="inlineStr">
        <is>
          <t>NORBERG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11448-2021</t>
        </is>
      </c>
      <c r="B96" s="1" t="n">
        <v>44264</v>
      </c>
      <c r="C96" s="1" t="n">
        <v>45566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13622-2021</t>
        </is>
      </c>
      <c r="B97" s="1" t="n">
        <v>44274</v>
      </c>
      <c r="C97" s="1" t="n">
        <v>45566</v>
      </c>
      <c r="D97" t="inlineStr">
        <is>
          <t>VÄSTMANLANDS LÄN</t>
        </is>
      </c>
      <c r="E97" t="inlineStr">
        <is>
          <t>NORBERG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14405-2021</t>
        </is>
      </c>
      <c r="B98" s="1" t="n">
        <v>44279</v>
      </c>
      <c r="C98" s="1" t="n">
        <v>45566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17103-2021</t>
        </is>
      </c>
      <c r="B99" s="1" t="n">
        <v>44298</v>
      </c>
      <c r="C99" s="1" t="n">
        <v>45566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19030-2021</t>
        </is>
      </c>
      <c r="B100" s="1" t="n">
        <v>44308</v>
      </c>
      <c r="C100" s="1" t="n">
        <v>45566</v>
      </c>
      <c r="D100" t="inlineStr">
        <is>
          <t>VÄSTMANLANDS LÄN</t>
        </is>
      </c>
      <c r="E100" t="inlineStr">
        <is>
          <t>NORBERG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25364-2021</t>
        </is>
      </c>
      <c r="B101" s="1" t="n">
        <v>44342</v>
      </c>
      <c r="C101" s="1" t="n">
        <v>45566</v>
      </c>
      <c r="D101" t="inlineStr">
        <is>
          <t>VÄSTMANLANDS LÄN</t>
        </is>
      </c>
      <c r="E101" t="inlineStr">
        <is>
          <t>NORBERG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26444-2021</t>
        </is>
      </c>
      <c r="B102" s="1" t="n">
        <v>44348</v>
      </c>
      <c r="C102" s="1" t="n">
        <v>45566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26910-2021</t>
        </is>
      </c>
      <c r="B103" s="1" t="n">
        <v>44349</v>
      </c>
      <c r="C103" s="1" t="n">
        <v>45566</v>
      </c>
      <c r="D103" t="inlineStr">
        <is>
          <t>VÄSTMANLANDS LÄN</t>
        </is>
      </c>
      <c r="E103" t="inlineStr">
        <is>
          <t>NORBERG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26891-2021</t>
        </is>
      </c>
      <c r="B104" s="1" t="n">
        <v>44349</v>
      </c>
      <c r="C104" s="1" t="n">
        <v>45566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26899-2021</t>
        </is>
      </c>
      <c r="B105" s="1" t="n">
        <v>44349</v>
      </c>
      <c r="C105" s="1" t="n">
        <v>45566</v>
      </c>
      <c r="D105" t="inlineStr">
        <is>
          <t>VÄSTMANLANDS LÄN</t>
        </is>
      </c>
      <c r="E105" t="inlineStr">
        <is>
          <t>NORBERG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28458-2021</t>
        </is>
      </c>
      <c r="B106" s="1" t="n">
        <v>44356</v>
      </c>
      <c r="C106" s="1" t="n">
        <v>45566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29244-2021</t>
        </is>
      </c>
      <c r="B107" s="1" t="n">
        <v>44360</v>
      </c>
      <c r="C107" s="1" t="n">
        <v>45566</v>
      </c>
      <c r="D107" t="inlineStr">
        <is>
          <t>VÄSTMANLANDS LÄN</t>
        </is>
      </c>
      <c r="E107" t="inlineStr">
        <is>
          <t>NORBERG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31257-2021</t>
        </is>
      </c>
      <c r="B108" s="1" t="n">
        <v>44368</v>
      </c>
      <c r="C108" s="1" t="n">
        <v>45566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35656-2021</t>
        </is>
      </c>
      <c r="B109" s="1" t="n">
        <v>44386</v>
      </c>
      <c r="C109" s="1" t="n">
        <v>45566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41518-2021</t>
        </is>
      </c>
      <c r="B110" s="1" t="n">
        <v>44425</v>
      </c>
      <c r="C110" s="1" t="n">
        <v>45566</v>
      </c>
      <c r="D110" t="inlineStr">
        <is>
          <t>VÄSTMANLANDS LÄN</t>
        </is>
      </c>
      <c r="E110" t="inlineStr">
        <is>
          <t>NORBERG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42699-2021</t>
        </is>
      </c>
      <c r="B111" s="1" t="n">
        <v>44428</v>
      </c>
      <c r="C111" s="1" t="n">
        <v>45566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45929-2021</t>
        </is>
      </c>
      <c r="B112" s="1" t="n">
        <v>44441</v>
      </c>
      <c r="C112" s="1" t="n">
        <v>45566</v>
      </c>
      <c r="D112" t="inlineStr">
        <is>
          <t>VÄSTMANLANDS LÄN</t>
        </is>
      </c>
      <c r="E112" t="inlineStr">
        <is>
          <t>NORBERG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45934-2021</t>
        </is>
      </c>
      <c r="B113" s="1" t="n">
        <v>44441</v>
      </c>
      <c r="C113" s="1" t="n">
        <v>45566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48143-2021</t>
        </is>
      </c>
      <c r="B114" s="1" t="n">
        <v>44449</v>
      </c>
      <c r="C114" s="1" t="n">
        <v>45566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48544-2021</t>
        </is>
      </c>
      <c r="B115" s="1" t="n">
        <v>44452</v>
      </c>
      <c r="C115" s="1" t="n">
        <v>45566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53297-2021</t>
        </is>
      </c>
      <c r="B116" s="1" t="n">
        <v>44467</v>
      </c>
      <c r="C116" s="1" t="n">
        <v>45566</v>
      </c>
      <c r="D116" t="inlineStr">
        <is>
          <t>VÄSTMANLANDS LÄN</t>
        </is>
      </c>
      <c r="E116" t="inlineStr">
        <is>
          <t>NORBERG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54864-2021</t>
        </is>
      </c>
      <c r="B117" s="1" t="n">
        <v>44473</v>
      </c>
      <c r="C117" s="1" t="n">
        <v>45566</v>
      </c>
      <c r="D117" t="inlineStr">
        <is>
          <t>VÄSTMANLANDS LÄN</t>
        </is>
      </c>
      <c r="E117" t="inlineStr">
        <is>
          <t>NORBERG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56940-2021</t>
        </is>
      </c>
      <c r="B118" s="1" t="n">
        <v>44480</v>
      </c>
      <c r="C118" s="1" t="n">
        <v>45566</v>
      </c>
      <c r="D118" t="inlineStr">
        <is>
          <t>VÄSTMANLANDS LÄN</t>
        </is>
      </c>
      <c r="E118" t="inlineStr">
        <is>
          <t>NORBERG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56936-2021</t>
        </is>
      </c>
      <c r="B119" s="1" t="n">
        <v>44480</v>
      </c>
      <c r="C119" s="1" t="n">
        <v>45566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56929-2021</t>
        </is>
      </c>
      <c r="B120" s="1" t="n">
        <v>44480</v>
      </c>
      <c r="C120" s="1" t="n">
        <v>45566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58514-2021</t>
        </is>
      </c>
      <c r="B121" s="1" t="n">
        <v>44488</v>
      </c>
      <c r="C121" s="1" t="n">
        <v>45566</v>
      </c>
      <c r="D121" t="inlineStr">
        <is>
          <t>VÄSTMANLANDS LÄN</t>
        </is>
      </c>
      <c r="E121" t="inlineStr">
        <is>
          <t>NORBERG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67361-2021</t>
        </is>
      </c>
      <c r="B122" s="1" t="n">
        <v>44523</v>
      </c>
      <c r="C122" s="1" t="n">
        <v>45566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67356-2021</t>
        </is>
      </c>
      <c r="B123" s="1" t="n">
        <v>44523</v>
      </c>
      <c r="C123" s="1" t="n">
        <v>45566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69758-2021</t>
        </is>
      </c>
      <c r="B124" s="1" t="n">
        <v>44532</v>
      </c>
      <c r="C124" s="1" t="n">
        <v>45566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70661-2021</t>
        </is>
      </c>
      <c r="B125" s="1" t="n">
        <v>44537</v>
      </c>
      <c r="C125" s="1" t="n">
        <v>45566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73073-2021</t>
        </is>
      </c>
      <c r="B126" s="1" t="n">
        <v>44550</v>
      </c>
      <c r="C126" s="1" t="n">
        <v>45566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73083-2021</t>
        </is>
      </c>
      <c r="B127" s="1" t="n">
        <v>44550</v>
      </c>
      <c r="C127" s="1" t="n">
        <v>45566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</v>
      </c>
      <c r="C128" s="1" t="n">
        <v>45566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2312-2022</t>
        </is>
      </c>
      <c r="B129" s="1" t="n">
        <v>44578</v>
      </c>
      <c r="C129" s="1" t="n">
        <v>45566</v>
      </c>
      <c r="D129" t="inlineStr">
        <is>
          <t>VÄSTMANLANDS LÄN</t>
        </is>
      </c>
      <c r="E129" t="inlineStr">
        <is>
          <t>NORBERG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6353-2022</t>
        </is>
      </c>
      <c r="B130" s="1" t="n">
        <v>44600</v>
      </c>
      <c r="C130" s="1" t="n">
        <v>45566</v>
      </c>
      <c r="D130" t="inlineStr">
        <is>
          <t>VÄSTMANLANDS LÄN</t>
        </is>
      </c>
      <c r="E130" t="inlineStr">
        <is>
          <t>NORBERG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9875-2022</t>
        </is>
      </c>
      <c r="B131" s="1" t="n">
        <v>44620</v>
      </c>
      <c r="C131" s="1" t="n">
        <v>45566</v>
      </c>
      <c r="D131" t="inlineStr">
        <is>
          <t>VÄSTMANLANDS LÄN</t>
        </is>
      </c>
      <c r="E131" t="inlineStr">
        <is>
          <t>NORBERG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11099-2022</t>
        </is>
      </c>
      <c r="B132" s="1" t="n">
        <v>44628</v>
      </c>
      <c r="C132" s="1" t="n">
        <v>45566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12233-2022</t>
        </is>
      </c>
      <c r="B133" s="1" t="n">
        <v>44635</v>
      </c>
      <c r="C133" s="1" t="n">
        <v>45566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15427-2022</t>
        </is>
      </c>
      <c r="B134" s="1" t="n">
        <v>44659</v>
      </c>
      <c r="C134" s="1" t="n">
        <v>45566</v>
      </c>
      <c r="D134" t="inlineStr">
        <is>
          <t>VÄSTMANLANDS LÄN</t>
        </is>
      </c>
      <c r="E134" t="inlineStr">
        <is>
          <t>NORBERG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18326-2022</t>
        </is>
      </c>
      <c r="B135" s="1" t="n">
        <v>44685</v>
      </c>
      <c r="C135" s="1" t="n">
        <v>45566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18673-2022</t>
        </is>
      </c>
      <c r="B136" s="1" t="n">
        <v>44687</v>
      </c>
      <c r="C136" s="1" t="n">
        <v>45566</v>
      </c>
      <c r="D136" t="inlineStr">
        <is>
          <t>VÄSTMANLANDS LÄN</t>
        </is>
      </c>
      <c r="E136" t="inlineStr">
        <is>
          <t>NORBERG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19076-2022</t>
        </is>
      </c>
      <c r="B137" s="1" t="n">
        <v>44691</v>
      </c>
      <c r="C137" s="1" t="n">
        <v>45566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19075-2022</t>
        </is>
      </c>
      <c r="B138" s="1" t="n">
        <v>44691</v>
      </c>
      <c r="C138" s="1" t="n">
        <v>45566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19073-2022</t>
        </is>
      </c>
      <c r="B139" s="1" t="n">
        <v>44691</v>
      </c>
      <c r="C139" s="1" t="n">
        <v>45566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19636-2022</t>
        </is>
      </c>
      <c r="B140" s="1" t="n">
        <v>44694</v>
      </c>
      <c r="C140" s="1" t="n">
        <v>45566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20118-2022</t>
        </is>
      </c>
      <c r="B141" s="1" t="n">
        <v>44698</v>
      </c>
      <c r="C141" s="1" t="n">
        <v>45566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20567-2022</t>
        </is>
      </c>
      <c r="B142" s="1" t="n">
        <v>44700</v>
      </c>
      <c r="C142" s="1" t="n">
        <v>45566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23009-2022</t>
        </is>
      </c>
      <c r="B143" s="1" t="n">
        <v>44719</v>
      </c>
      <c r="C143" s="1" t="n">
        <v>45566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23043-2022</t>
        </is>
      </c>
      <c r="B144" s="1" t="n">
        <v>44719</v>
      </c>
      <c r="C144" s="1" t="n">
        <v>45566</v>
      </c>
      <c r="D144" t="inlineStr">
        <is>
          <t>VÄSTMANLANDS LÄN</t>
        </is>
      </c>
      <c r="E144" t="inlineStr">
        <is>
          <t>NORBERG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24540-2022</t>
        </is>
      </c>
      <c r="B145" s="1" t="n">
        <v>44727</v>
      </c>
      <c r="C145" s="1" t="n">
        <v>45566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35684-2022</t>
        </is>
      </c>
      <c r="B146" s="1" t="n">
        <v>44799</v>
      </c>
      <c r="C146" s="1" t="n">
        <v>45566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36838-2022</t>
        </is>
      </c>
      <c r="B147" s="1" t="n">
        <v>44805</v>
      </c>
      <c r="C147" s="1" t="n">
        <v>45566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36836-2022</t>
        </is>
      </c>
      <c r="B148" s="1" t="n">
        <v>44805</v>
      </c>
      <c r="C148" s="1" t="n">
        <v>45566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36839-2022</t>
        </is>
      </c>
      <c r="B149" s="1" t="n">
        <v>44805</v>
      </c>
      <c r="C149" s="1" t="n">
        <v>45566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38725-2022</t>
        </is>
      </c>
      <c r="B150" s="1" t="n">
        <v>44815</v>
      </c>
      <c r="C150" s="1" t="n">
        <v>45566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38905-2022</t>
        </is>
      </c>
      <c r="B151" s="1" t="n">
        <v>44816</v>
      </c>
      <c r="C151" s="1" t="n">
        <v>45566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38906-2022</t>
        </is>
      </c>
      <c r="B152" s="1" t="n">
        <v>44816</v>
      </c>
      <c r="C152" s="1" t="n">
        <v>45566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38903-2022</t>
        </is>
      </c>
      <c r="B153" s="1" t="n">
        <v>44816</v>
      </c>
      <c r="C153" s="1" t="n">
        <v>45566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41739-2022</t>
        </is>
      </c>
      <c r="B154" s="1" t="n">
        <v>44827</v>
      </c>
      <c r="C154" s="1" t="n">
        <v>45566</v>
      </c>
      <c r="D154" t="inlineStr">
        <is>
          <t>VÄSTMANLANDS LÄN</t>
        </is>
      </c>
      <c r="E154" t="inlineStr">
        <is>
          <t>NORBERG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41744-2022</t>
        </is>
      </c>
      <c r="B155" s="1" t="n">
        <v>44827</v>
      </c>
      <c r="C155" s="1" t="n">
        <v>45566</v>
      </c>
      <c r="D155" t="inlineStr">
        <is>
          <t>VÄSTMANLANDS LÄN</t>
        </is>
      </c>
      <c r="E155" t="inlineStr">
        <is>
          <t>NORBERG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41750-2022</t>
        </is>
      </c>
      <c r="B156" s="1" t="n">
        <v>44827</v>
      </c>
      <c r="C156" s="1" t="n">
        <v>45566</v>
      </c>
      <c r="D156" t="inlineStr">
        <is>
          <t>VÄSTMANLANDS LÄN</t>
        </is>
      </c>
      <c r="E156" t="inlineStr">
        <is>
          <t>NORBERG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41742-2022</t>
        </is>
      </c>
      <c r="B157" s="1" t="n">
        <v>44827</v>
      </c>
      <c r="C157" s="1" t="n">
        <v>45566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41748-2022</t>
        </is>
      </c>
      <c r="B158" s="1" t="n">
        <v>44827</v>
      </c>
      <c r="C158" s="1" t="n">
        <v>45566</v>
      </c>
      <c r="D158" t="inlineStr">
        <is>
          <t>VÄSTMANLANDS LÄN</t>
        </is>
      </c>
      <c r="E158" t="inlineStr">
        <is>
          <t>NORBERG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42505-2022</t>
        </is>
      </c>
      <c r="B159" s="1" t="n">
        <v>44831</v>
      </c>
      <c r="C159" s="1" t="n">
        <v>45566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42504-2022</t>
        </is>
      </c>
      <c r="B160" s="1" t="n">
        <v>44831</v>
      </c>
      <c r="C160" s="1" t="n">
        <v>45566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43073-2022</t>
        </is>
      </c>
      <c r="B161" s="1" t="n">
        <v>44833</v>
      </c>
      <c r="C161" s="1" t="n">
        <v>45566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43075-2022</t>
        </is>
      </c>
      <c r="B162" s="1" t="n">
        <v>44833</v>
      </c>
      <c r="C162" s="1" t="n">
        <v>45566</v>
      </c>
      <c r="D162" t="inlineStr">
        <is>
          <t>VÄSTMANLANDS LÄN</t>
        </is>
      </c>
      <c r="E162" t="inlineStr">
        <is>
          <t>NORBERG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43072-2022</t>
        </is>
      </c>
      <c r="B163" s="1" t="n">
        <v>44833</v>
      </c>
      <c r="C163" s="1" t="n">
        <v>45566</v>
      </c>
      <c r="D163" t="inlineStr">
        <is>
          <t>VÄSTMANLANDS LÄN</t>
        </is>
      </c>
      <c r="E163" t="inlineStr">
        <is>
          <t>NORBERG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43076-2022</t>
        </is>
      </c>
      <c r="B164" s="1" t="n">
        <v>44833</v>
      </c>
      <c r="C164" s="1" t="n">
        <v>45566</v>
      </c>
      <c r="D164" t="inlineStr">
        <is>
          <t>VÄSTMANLANDS LÄN</t>
        </is>
      </c>
      <c r="E164" t="inlineStr">
        <is>
          <t>NORBERG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44016-2022</t>
        </is>
      </c>
      <c r="B165" s="1" t="n">
        <v>44838</v>
      </c>
      <c r="C165" s="1" t="n">
        <v>45566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44015-2022</t>
        </is>
      </c>
      <c r="B166" s="1" t="n">
        <v>44838</v>
      </c>
      <c r="C166" s="1" t="n">
        <v>45566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45213-2022</t>
        </is>
      </c>
      <c r="B167" s="1" t="n">
        <v>44844</v>
      </c>
      <c r="C167" s="1" t="n">
        <v>45566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45738-2022</t>
        </is>
      </c>
      <c r="B168" s="1" t="n">
        <v>44846</v>
      </c>
      <c r="C168" s="1" t="n">
        <v>45566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45740-2022</t>
        </is>
      </c>
      <c r="B169" s="1" t="n">
        <v>44846</v>
      </c>
      <c r="C169" s="1" t="n">
        <v>45566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45737-2022</t>
        </is>
      </c>
      <c r="B170" s="1" t="n">
        <v>44846</v>
      </c>
      <c r="C170" s="1" t="n">
        <v>45566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46369-2022</t>
        </is>
      </c>
      <c r="B171" s="1" t="n">
        <v>44848</v>
      </c>
      <c r="C171" s="1" t="n">
        <v>45566</v>
      </c>
      <c r="D171" t="inlineStr">
        <is>
          <t>VÄSTMANLANDS LÄN</t>
        </is>
      </c>
      <c r="E171" t="inlineStr">
        <is>
          <t>NORBERG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46641-2022</t>
        </is>
      </c>
      <c r="B172" s="1" t="n">
        <v>44849</v>
      </c>
      <c r="C172" s="1" t="n">
        <v>45566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47607-2022</t>
        </is>
      </c>
      <c r="B173" s="1" t="n">
        <v>44852</v>
      </c>
      <c r="C173" s="1" t="n">
        <v>45566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45566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47599-2022</t>
        </is>
      </c>
      <c r="B175" s="1" t="n">
        <v>44852</v>
      </c>
      <c r="C175" s="1" t="n">
        <v>45566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48754-2022</t>
        </is>
      </c>
      <c r="B176" s="1" t="n">
        <v>44859</v>
      </c>
      <c r="C176" s="1" t="n">
        <v>45566</v>
      </c>
      <c r="D176" t="inlineStr">
        <is>
          <t>VÄSTMANLANDS LÄN</t>
        </is>
      </c>
      <c r="E176" t="inlineStr">
        <is>
          <t>NORBERG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</v>
      </c>
      <c r="C177" s="1" t="n">
        <v>45566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49143-2022</t>
        </is>
      </c>
      <c r="B178" s="1" t="n">
        <v>44860</v>
      </c>
      <c r="C178" s="1" t="n">
        <v>45566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50124-2022</t>
        </is>
      </c>
      <c r="B179" s="1" t="n">
        <v>44860</v>
      </c>
      <c r="C179" s="1" t="n">
        <v>45566</v>
      </c>
      <c r="D179" t="inlineStr">
        <is>
          <t>VÄSTMANLANDS LÄN</t>
        </is>
      </c>
      <c r="E179" t="inlineStr">
        <is>
          <t>NORBERG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49163-2022</t>
        </is>
      </c>
      <c r="B180" s="1" t="n">
        <v>44860</v>
      </c>
      <c r="C180" s="1" t="n">
        <v>45566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51415-2022</t>
        </is>
      </c>
      <c r="B181" s="1" t="n">
        <v>44869</v>
      </c>
      <c r="C181" s="1" t="n">
        <v>45566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52063-2022</t>
        </is>
      </c>
      <c r="B182" s="1" t="n">
        <v>44873</v>
      </c>
      <c r="C182" s="1" t="n">
        <v>45566</v>
      </c>
      <c r="D182" t="inlineStr">
        <is>
          <t>VÄSTMANLANDS LÄN</t>
        </is>
      </c>
      <c r="E182" t="inlineStr">
        <is>
          <t>NORBERG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52068-2022</t>
        </is>
      </c>
      <c r="B183" s="1" t="n">
        <v>44873</v>
      </c>
      <c r="C183" s="1" t="n">
        <v>45566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52076-2022</t>
        </is>
      </c>
      <c r="B184" s="1" t="n">
        <v>44873</v>
      </c>
      <c r="C184" s="1" t="n">
        <v>45566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56279-2022</t>
        </is>
      </c>
      <c r="B185" s="1" t="n">
        <v>44890</v>
      </c>
      <c r="C185" s="1" t="n">
        <v>45566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61745-2022</t>
        </is>
      </c>
      <c r="B186" s="1" t="n">
        <v>44911</v>
      </c>
      <c r="C186" s="1" t="n">
        <v>45566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552-2023</t>
        </is>
      </c>
      <c r="B187" s="1" t="n">
        <v>44925</v>
      </c>
      <c r="C187" s="1" t="n">
        <v>45566</v>
      </c>
      <c r="D187" t="inlineStr">
        <is>
          <t>VÄSTMANLANDS LÄN</t>
        </is>
      </c>
      <c r="E187" t="inlineStr">
        <is>
          <t>NORBERG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559-2023</t>
        </is>
      </c>
      <c r="B188" s="1" t="n">
        <v>44925</v>
      </c>
      <c r="C188" s="1" t="n">
        <v>45566</v>
      </c>
      <c r="D188" t="inlineStr">
        <is>
          <t>VÄSTMANLANDS LÄN</t>
        </is>
      </c>
      <c r="E188" t="inlineStr">
        <is>
          <t>NORBERG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1814-2023</t>
        </is>
      </c>
      <c r="B189" s="1" t="n">
        <v>44938</v>
      </c>
      <c r="C189" s="1" t="n">
        <v>45566</v>
      </c>
      <c r="D189" t="inlineStr">
        <is>
          <t>VÄSTMANLANDS LÄN</t>
        </is>
      </c>
      <c r="E189" t="inlineStr">
        <is>
          <t>NORBERG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7744-2023</t>
        </is>
      </c>
      <c r="B190" s="1" t="n">
        <v>44973</v>
      </c>
      <c r="C190" s="1" t="n">
        <v>45566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8746-2023</t>
        </is>
      </c>
      <c r="B191" s="1" t="n">
        <v>44973</v>
      </c>
      <c r="C191" s="1" t="n">
        <v>45566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8744-2023</t>
        </is>
      </c>
      <c r="B192" s="1" t="n">
        <v>44973</v>
      </c>
      <c r="C192" s="1" t="n">
        <v>45566</v>
      </c>
      <c r="D192" t="inlineStr">
        <is>
          <t>VÄSTMANLANDS LÄN</t>
        </is>
      </c>
      <c r="E192" t="inlineStr">
        <is>
          <t>NORBERG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10378-2023</t>
        </is>
      </c>
      <c r="B193" s="1" t="n">
        <v>44987</v>
      </c>
      <c r="C193" s="1" t="n">
        <v>45566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11099-2023</t>
        </is>
      </c>
      <c r="B194" s="1" t="n">
        <v>44992</v>
      </c>
      <c r="C194" s="1" t="n">
        <v>45566</v>
      </c>
      <c r="D194" t="inlineStr">
        <is>
          <t>VÄSTMANLANDS LÄN</t>
        </is>
      </c>
      <c r="E194" t="inlineStr">
        <is>
          <t>NORBERG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11664-2023</t>
        </is>
      </c>
      <c r="B195" s="1" t="n">
        <v>44992</v>
      </c>
      <c r="C195" s="1" t="n">
        <v>45566</v>
      </c>
      <c r="D195" t="inlineStr">
        <is>
          <t>VÄSTMANLANDS LÄN</t>
        </is>
      </c>
      <c r="E195" t="inlineStr">
        <is>
          <t>NORBERG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12170-2023</t>
        </is>
      </c>
      <c r="B196" s="1" t="n">
        <v>44998</v>
      </c>
      <c r="C196" s="1" t="n">
        <v>45566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12130-2023</t>
        </is>
      </c>
      <c r="B197" s="1" t="n">
        <v>44998</v>
      </c>
      <c r="C197" s="1" t="n">
        <v>45566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12171-2023</t>
        </is>
      </c>
      <c r="B198" s="1" t="n">
        <v>44998</v>
      </c>
      <c r="C198" s="1" t="n">
        <v>45566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12796-2023</t>
        </is>
      </c>
      <c r="B199" s="1" t="n">
        <v>45001</v>
      </c>
      <c r="C199" s="1" t="n">
        <v>45566</v>
      </c>
      <c r="D199" t="inlineStr">
        <is>
          <t>VÄSTMANLANDS LÄN</t>
        </is>
      </c>
      <c r="E199" t="inlineStr">
        <is>
          <t>NORBERG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13454-2023</t>
        </is>
      </c>
      <c r="B200" s="1" t="n">
        <v>45005</v>
      </c>
      <c r="C200" s="1" t="n">
        <v>45566</v>
      </c>
      <c r="D200" t="inlineStr">
        <is>
          <t>VÄSTMANLANDS LÄN</t>
        </is>
      </c>
      <c r="E200" t="inlineStr">
        <is>
          <t>NORBERG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13453-2023</t>
        </is>
      </c>
      <c r="B201" s="1" t="n">
        <v>45005</v>
      </c>
      <c r="C201" s="1" t="n">
        <v>45566</v>
      </c>
      <c r="D201" t="inlineStr">
        <is>
          <t>VÄSTMANLANDS LÄN</t>
        </is>
      </c>
      <c r="E201" t="inlineStr">
        <is>
          <t>NORBERG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14033-2023</t>
        </is>
      </c>
      <c r="B202" s="1" t="n">
        <v>45007</v>
      </c>
      <c r="C202" s="1" t="n">
        <v>45566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13904-2023</t>
        </is>
      </c>
      <c r="B203" s="1" t="n">
        <v>45008</v>
      </c>
      <c r="C203" s="1" t="n">
        <v>45566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14617-2023</t>
        </is>
      </c>
      <c r="B204" s="1" t="n">
        <v>45013</v>
      </c>
      <c r="C204" s="1" t="n">
        <v>45566</v>
      </c>
      <c r="D204" t="inlineStr">
        <is>
          <t>VÄSTMANLANDS LÄN</t>
        </is>
      </c>
      <c r="E204" t="inlineStr">
        <is>
          <t>NORBERG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14616-2023</t>
        </is>
      </c>
      <c r="B205" s="1" t="n">
        <v>45013</v>
      </c>
      <c r="C205" s="1" t="n">
        <v>45566</v>
      </c>
      <c r="D205" t="inlineStr">
        <is>
          <t>VÄSTMANLANDS LÄN</t>
        </is>
      </c>
      <c r="E205" t="inlineStr">
        <is>
          <t>NORBERG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14827-2023</t>
        </is>
      </c>
      <c r="B206" s="1" t="n">
        <v>45013</v>
      </c>
      <c r="C206" s="1" t="n">
        <v>45566</v>
      </c>
      <c r="D206" t="inlineStr">
        <is>
          <t>VÄSTMANLANDS LÄN</t>
        </is>
      </c>
      <c r="E206" t="inlineStr">
        <is>
          <t>NORBERG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14903-2023</t>
        </is>
      </c>
      <c r="B207" s="1" t="n">
        <v>45014</v>
      </c>
      <c r="C207" s="1" t="n">
        <v>45566</v>
      </c>
      <c r="D207" t="inlineStr">
        <is>
          <t>VÄSTMANLANDS LÄN</t>
        </is>
      </c>
      <c r="E207" t="inlineStr">
        <is>
          <t>NORBERG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14904-2023</t>
        </is>
      </c>
      <c r="B208" s="1" t="n">
        <v>45014</v>
      </c>
      <c r="C208" s="1" t="n">
        <v>45566</v>
      </c>
      <c r="D208" t="inlineStr">
        <is>
          <t>VÄSTMANLANDS LÄN</t>
        </is>
      </c>
      <c r="E208" t="inlineStr">
        <is>
          <t>NORBERG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15083-2023</t>
        </is>
      </c>
      <c r="B209" s="1" t="n">
        <v>45016</v>
      </c>
      <c r="C209" s="1" t="n">
        <v>45566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15084-2023</t>
        </is>
      </c>
      <c r="B210" s="1" t="n">
        <v>45016</v>
      </c>
      <c r="C210" s="1" t="n">
        <v>45566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15098-2023</t>
        </is>
      </c>
      <c r="B211" s="1" t="n">
        <v>45016</v>
      </c>
      <c r="C211" s="1" t="n">
        <v>45566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15431-2023</t>
        </is>
      </c>
      <c r="B212" s="1" t="n">
        <v>45020</v>
      </c>
      <c r="C212" s="1" t="n">
        <v>45566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15429-2023</t>
        </is>
      </c>
      <c r="B213" s="1" t="n">
        <v>45020</v>
      </c>
      <c r="C213" s="1" t="n">
        <v>45566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16103-2023</t>
        </is>
      </c>
      <c r="B214" s="1" t="n">
        <v>45021</v>
      </c>
      <c r="C214" s="1" t="n">
        <v>45566</v>
      </c>
      <c r="D214" t="inlineStr">
        <is>
          <t>VÄSTMANLANDS LÄN</t>
        </is>
      </c>
      <c r="E214" t="inlineStr">
        <is>
          <t>NORBERG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16105-2023</t>
        </is>
      </c>
      <c r="B215" s="1" t="n">
        <v>45021</v>
      </c>
      <c r="C215" s="1" t="n">
        <v>45566</v>
      </c>
      <c r="D215" t="inlineStr">
        <is>
          <t>VÄSTMANLANDS LÄN</t>
        </is>
      </c>
      <c r="E215" t="inlineStr">
        <is>
          <t>NORBERG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</v>
      </c>
      <c r="C216" s="1" t="n">
        <v>45566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16396-2023</t>
        </is>
      </c>
      <c r="B217" s="1" t="n">
        <v>45029</v>
      </c>
      <c r="C217" s="1" t="n">
        <v>45566</v>
      </c>
      <c r="D217" t="inlineStr">
        <is>
          <t>VÄSTMANLANDS LÄN</t>
        </is>
      </c>
      <c r="E217" t="inlineStr">
        <is>
          <t>NORBERG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16953-2023</t>
        </is>
      </c>
      <c r="B218" s="1" t="n">
        <v>45029</v>
      </c>
      <c r="C218" s="1" t="n">
        <v>45566</v>
      </c>
      <c r="D218" t="inlineStr">
        <is>
          <t>VÄSTMANLANDS LÄN</t>
        </is>
      </c>
      <c r="E218" t="inlineStr">
        <is>
          <t>NORBERG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16955-2023</t>
        </is>
      </c>
      <c r="B219" s="1" t="n">
        <v>45029</v>
      </c>
      <c r="C219" s="1" t="n">
        <v>45566</v>
      </c>
      <c r="D219" t="inlineStr">
        <is>
          <t>VÄSTMANLANDS LÄN</t>
        </is>
      </c>
      <c r="E219" t="inlineStr">
        <is>
          <t>NORBERG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17038-2023</t>
        </is>
      </c>
      <c r="B220" s="1" t="n">
        <v>45034</v>
      </c>
      <c r="C220" s="1" t="n">
        <v>45566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17075-2023</t>
        </is>
      </c>
      <c r="B221" s="1" t="n">
        <v>45034</v>
      </c>
      <c r="C221" s="1" t="n">
        <v>45566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17990-2023</t>
        </is>
      </c>
      <c r="B222" s="1" t="n">
        <v>45040</v>
      </c>
      <c r="C222" s="1" t="n">
        <v>45566</v>
      </c>
      <c r="D222" t="inlineStr">
        <is>
          <t>VÄSTMANLANDS LÄN</t>
        </is>
      </c>
      <c r="E222" t="inlineStr">
        <is>
          <t>NORBERG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18194-2023</t>
        </is>
      </c>
      <c r="B223" s="1" t="n">
        <v>45041</v>
      </c>
      <c r="C223" s="1" t="n">
        <v>45566</v>
      </c>
      <c r="D223" t="inlineStr">
        <is>
          <t>VÄSTMANLANDS LÄN</t>
        </is>
      </c>
      <c r="E223" t="inlineStr">
        <is>
          <t>NORBERG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18384-2023</t>
        </is>
      </c>
      <c r="B224" s="1" t="n">
        <v>45042</v>
      </c>
      <c r="C224" s="1" t="n">
        <v>45566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18745-2023</t>
        </is>
      </c>
      <c r="B225" s="1" t="n">
        <v>45043</v>
      </c>
      <c r="C225" s="1" t="n">
        <v>45566</v>
      </c>
      <c r="D225" t="inlineStr">
        <is>
          <t>VÄSTMANLANDS LÄN</t>
        </is>
      </c>
      <c r="E225" t="inlineStr">
        <is>
          <t>NORBERG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18744-2023</t>
        </is>
      </c>
      <c r="B226" s="1" t="n">
        <v>45043</v>
      </c>
      <c r="C226" s="1" t="n">
        <v>45566</v>
      </c>
      <c r="D226" t="inlineStr">
        <is>
          <t>VÄSTMANLANDS LÄN</t>
        </is>
      </c>
      <c r="E226" t="inlineStr">
        <is>
          <t>NORBERG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19019-2023</t>
        </is>
      </c>
      <c r="B227" s="1" t="n">
        <v>45047</v>
      </c>
      <c r="C227" s="1" t="n">
        <v>45566</v>
      </c>
      <c r="D227" t="inlineStr">
        <is>
          <t>VÄSTMANLANDS LÄN</t>
        </is>
      </c>
      <c r="E227" t="inlineStr">
        <is>
          <t>NORBERG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19020-2023</t>
        </is>
      </c>
      <c r="B228" s="1" t="n">
        <v>45047</v>
      </c>
      <c r="C228" s="1" t="n">
        <v>45566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19254-2023</t>
        </is>
      </c>
      <c r="B229" s="1" t="n">
        <v>45049</v>
      </c>
      <c r="C229" s="1" t="n">
        <v>45566</v>
      </c>
      <c r="D229" t="inlineStr">
        <is>
          <t>VÄSTMANLANDS LÄN</t>
        </is>
      </c>
      <c r="E229" t="inlineStr">
        <is>
          <t>NORBERG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</v>
      </c>
      <c r="C230" s="1" t="n">
        <v>45566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20381-2023</t>
        </is>
      </c>
      <c r="B231" s="1" t="n">
        <v>45056</v>
      </c>
      <c r="C231" s="1" t="n">
        <v>45566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20378-2023</t>
        </is>
      </c>
      <c r="B232" s="1" t="n">
        <v>45056</v>
      </c>
      <c r="C232" s="1" t="n">
        <v>45566</v>
      </c>
      <c r="D232" t="inlineStr">
        <is>
          <t>VÄSTMANLANDS LÄN</t>
        </is>
      </c>
      <c r="E232" t="inlineStr">
        <is>
          <t>NORBERG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21528-2023</t>
        </is>
      </c>
      <c r="B233" s="1" t="n">
        <v>45063</v>
      </c>
      <c r="C233" s="1" t="n">
        <v>45566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21543-2023</t>
        </is>
      </c>
      <c r="B234" s="1" t="n">
        <v>45063</v>
      </c>
      <c r="C234" s="1" t="n">
        <v>45566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23542-2023</t>
        </is>
      </c>
      <c r="B235" s="1" t="n">
        <v>45077</v>
      </c>
      <c r="C235" s="1" t="n">
        <v>45566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23616-2023</t>
        </is>
      </c>
      <c r="B236" s="1" t="n">
        <v>45077</v>
      </c>
      <c r="C236" s="1" t="n">
        <v>45566</v>
      </c>
      <c r="D236" t="inlineStr">
        <is>
          <t>VÄSTMANLANDS LÄN</t>
        </is>
      </c>
      <c r="E236" t="inlineStr">
        <is>
          <t>NORBERG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23791-2023</t>
        </is>
      </c>
      <c r="B237" s="1" t="n">
        <v>45078</v>
      </c>
      <c r="C237" s="1" t="n">
        <v>45566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23917-2023</t>
        </is>
      </c>
      <c r="B238" s="1" t="n">
        <v>45078</v>
      </c>
      <c r="C238" s="1" t="n">
        <v>45566</v>
      </c>
      <c r="D238" t="inlineStr">
        <is>
          <t>VÄSTMANLANDS LÄN</t>
        </is>
      </c>
      <c r="E238" t="inlineStr">
        <is>
          <t>NORBERG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24606-2023</t>
        </is>
      </c>
      <c r="B239" s="1" t="n">
        <v>45084</v>
      </c>
      <c r="C239" s="1" t="n">
        <v>45566</v>
      </c>
      <c r="D239" t="inlineStr">
        <is>
          <t>VÄSTMANLANDS LÄN</t>
        </is>
      </c>
      <c r="E239" t="inlineStr">
        <is>
          <t>NORBERG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25761-2023</t>
        </is>
      </c>
      <c r="B240" s="1" t="n">
        <v>45084</v>
      </c>
      <c r="C240" s="1" t="n">
        <v>45566</v>
      </c>
      <c r="D240" t="inlineStr">
        <is>
          <t>VÄSTMANLANDS LÄN</t>
        </is>
      </c>
      <c r="E240" t="inlineStr">
        <is>
          <t>NORBERG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25477-2023</t>
        </is>
      </c>
      <c r="B241" s="1" t="n">
        <v>45089</v>
      </c>
      <c r="C241" s="1" t="n">
        <v>45566</v>
      </c>
      <c r="D241" t="inlineStr">
        <is>
          <t>VÄSTMANLANDS LÄN</t>
        </is>
      </c>
      <c r="E241" t="inlineStr">
        <is>
          <t>NORBERG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25540-2023</t>
        </is>
      </c>
      <c r="B242" s="1" t="n">
        <v>45089</v>
      </c>
      <c r="C242" s="1" t="n">
        <v>45566</v>
      </c>
      <c r="D242" t="inlineStr">
        <is>
          <t>VÄSTMANLANDS LÄN</t>
        </is>
      </c>
      <c r="E242" t="inlineStr">
        <is>
          <t>NORBERG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26069-2023</t>
        </is>
      </c>
      <c r="B243" s="1" t="n">
        <v>45091</v>
      </c>
      <c r="C243" s="1" t="n">
        <v>45566</v>
      </c>
      <c r="D243" t="inlineStr">
        <is>
          <t>VÄSTMANLANDS LÄN</t>
        </is>
      </c>
      <c r="E243" t="inlineStr">
        <is>
          <t>NORBERG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26068-2023</t>
        </is>
      </c>
      <c r="B244" s="1" t="n">
        <v>45091</v>
      </c>
      <c r="C244" s="1" t="n">
        <v>45566</v>
      </c>
      <c r="D244" t="inlineStr">
        <is>
          <t>VÄSTMANLANDS LÄN</t>
        </is>
      </c>
      <c r="E244" t="inlineStr">
        <is>
          <t>NORBERG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26072-2023</t>
        </is>
      </c>
      <c r="B245" s="1" t="n">
        <v>45091</v>
      </c>
      <c r="C245" s="1" t="n">
        <v>45566</v>
      </c>
      <c r="D245" t="inlineStr">
        <is>
          <t>VÄSTMANLANDS LÄN</t>
        </is>
      </c>
      <c r="E245" t="inlineStr">
        <is>
          <t>NORBERG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26066-2023</t>
        </is>
      </c>
      <c r="B246" s="1" t="n">
        <v>45091</v>
      </c>
      <c r="C246" s="1" t="n">
        <v>45566</v>
      </c>
      <c r="D246" t="inlineStr">
        <is>
          <t>VÄSTMANLANDS LÄN</t>
        </is>
      </c>
      <c r="E246" t="inlineStr">
        <is>
          <t>NORBERG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26802-2023</t>
        </is>
      </c>
      <c r="B247" s="1" t="n">
        <v>45093</v>
      </c>
      <c r="C247" s="1" t="n">
        <v>45566</v>
      </c>
      <c r="D247" t="inlineStr">
        <is>
          <t>VÄSTMANLANDS LÄN</t>
        </is>
      </c>
      <c r="E247" t="inlineStr">
        <is>
          <t>NORBERG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27635-2023</t>
        </is>
      </c>
      <c r="B248" s="1" t="n">
        <v>45093</v>
      </c>
      <c r="C248" s="1" t="n">
        <v>45566</v>
      </c>
      <c r="D248" t="inlineStr">
        <is>
          <t>VÄSTMANLANDS LÄN</t>
        </is>
      </c>
      <c r="E248" t="inlineStr">
        <is>
          <t>NORBERG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28589-2023</t>
        </is>
      </c>
      <c r="B249" s="1" t="n">
        <v>45103</v>
      </c>
      <c r="C249" s="1" t="n">
        <v>45566</v>
      </c>
      <c r="D249" t="inlineStr">
        <is>
          <t>VÄSTMANLANDS LÄN</t>
        </is>
      </c>
      <c r="E249" t="inlineStr">
        <is>
          <t>NORBERG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32686-2023</t>
        </is>
      </c>
      <c r="B250" s="1" t="n">
        <v>45112</v>
      </c>
      <c r="C250" s="1" t="n">
        <v>45566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32093-2023</t>
        </is>
      </c>
      <c r="B251" s="1" t="n">
        <v>45119</v>
      </c>
      <c r="C251" s="1" t="n">
        <v>45566</v>
      </c>
      <c r="D251" t="inlineStr">
        <is>
          <t>VÄSTMANLANDS LÄN</t>
        </is>
      </c>
      <c r="E251" t="inlineStr">
        <is>
          <t>NORBERG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32524-2023</t>
        </is>
      </c>
      <c r="B252" s="1" t="n">
        <v>45121</v>
      </c>
      <c r="C252" s="1" t="n">
        <v>45566</v>
      </c>
      <c r="D252" t="inlineStr">
        <is>
          <t>VÄSTMANLANDS LÄN</t>
        </is>
      </c>
      <c r="E252" t="inlineStr">
        <is>
          <t>NORBERG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32529-2023</t>
        </is>
      </c>
      <c r="B253" s="1" t="n">
        <v>45121</v>
      </c>
      <c r="C253" s="1" t="n">
        <v>45566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32513-2023</t>
        </is>
      </c>
      <c r="B254" s="1" t="n">
        <v>45121</v>
      </c>
      <c r="C254" s="1" t="n">
        <v>45566</v>
      </c>
      <c r="D254" t="inlineStr">
        <is>
          <t>VÄSTMANLANDS LÄN</t>
        </is>
      </c>
      <c r="E254" t="inlineStr">
        <is>
          <t>NORBERG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32516-2023</t>
        </is>
      </c>
      <c r="B255" s="1" t="n">
        <v>45121</v>
      </c>
      <c r="C255" s="1" t="n">
        <v>45566</v>
      </c>
      <c r="D255" t="inlineStr">
        <is>
          <t>VÄSTMANLANDS LÄN</t>
        </is>
      </c>
      <c r="E255" t="inlineStr">
        <is>
          <t>NORBERG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33909-2023</t>
        </is>
      </c>
      <c r="B256" s="1" t="n">
        <v>45122</v>
      </c>
      <c r="C256" s="1" t="n">
        <v>45566</v>
      </c>
      <c r="D256" t="inlineStr">
        <is>
          <t>VÄSTMANLANDS LÄN</t>
        </is>
      </c>
      <c r="E256" t="inlineStr">
        <is>
          <t>NORBERG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45566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45566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45566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45566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45566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45566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45566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45566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45566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45566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45566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45566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45566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45566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45566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45566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45566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45566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45566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45566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45566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45566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45566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45566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45566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45566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45566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45566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45566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45566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45566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45566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45566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45566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45566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45566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45566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45566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45566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45566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45566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45566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45566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45566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45566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45566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45566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45566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45566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45566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45566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45566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45566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45566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45566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45566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45566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45566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45566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45566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45566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45566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45566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45566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45566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45566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45566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45566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45566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45566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45566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45566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45566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45566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45566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30358-2024</t>
        </is>
      </c>
      <c r="B332" s="1" t="n">
        <v>45491</v>
      </c>
      <c r="C332" s="1" t="n">
        <v>45566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36264-2024</t>
        </is>
      </c>
      <c r="B333" s="1" t="n">
        <v>45534</v>
      </c>
      <c r="C333" s="1" t="n">
        <v>45566</v>
      </c>
      <c r="D333" t="inlineStr">
        <is>
          <t>VÄSTMANLANDS LÄN</t>
        </is>
      </c>
      <c r="E333" t="inlineStr">
        <is>
          <t>NORBERG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36443-2024</t>
        </is>
      </c>
      <c r="B334" s="1" t="n">
        <v>45537</v>
      </c>
      <c r="C334" s="1" t="n">
        <v>45566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38324-2024</t>
        </is>
      </c>
      <c r="B335" s="1" t="n">
        <v>45545</v>
      </c>
      <c r="C335" s="1" t="n">
        <v>45566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39255-2024</t>
        </is>
      </c>
      <c r="B336" s="1" t="n">
        <v>45551</v>
      </c>
      <c r="C336" s="1" t="n">
        <v>45566</v>
      </c>
      <c r="D336" t="inlineStr">
        <is>
          <t>VÄSTMANLANDS LÄN</t>
        </is>
      </c>
      <c r="E336" t="inlineStr">
        <is>
          <t>NORBERG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45566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45566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45566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39835-2024</t>
        </is>
      </c>
      <c r="B340" s="1" t="n">
        <v>45553</v>
      </c>
      <c r="C340" s="1" t="n">
        <v>45566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39837-2024</t>
        </is>
      </c>
      <c r="B341" s="1" t="n">
        <v>45553</v>
      </c>
      <c r="C341" s="1" t="n">
        <v>45566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40228-2024</t>
        </is>
      </c>
      <c r="B342" s="1" t="n">
        <v>45554</v>
      </c>
      <c r="C342" s="1" t="n">
        <v>45566</v>
      </c>
      <c r="D342" t="inlineStr">
        <is>
          <t>VÄSTMANLANDS LÄN</t>
        </is>
      </c>
      <c r="E342" t="inlineStr">
        <is>
          <t>NORBERG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40232-2024</t>
        </is>
      </c>
      <c r="B343" s="1" t="n">
        <v>45554</v>
      </c>
      <c r="C343" s="1" t="n">
        <v>45566</v>
      </c>
      <c r="D343" t="inlineStr">
        <is>
          <t>VÄSTMANLANDS LÄN</t>
        </is>
      </c>
      <c r="E343" t="inlineStr">
        <is>
          <t>NORBERG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41444-2024</t>
        </is>
      </c>
      <c r="B344" s="1" t="n">
        <v>45560</v>
      </c>
      <c r="C344" s="1" t="n">
        <v>45566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41448-2024</t>
        </is>
      </c>
      <c r="B345" s="1" t="n">
        <v>45560</v>
      </c>
      <c r="C345" s="1" t="n">
        <v>45566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41468-2024</t>
        </is>
      </c>
      <c r="B346" s="1" t="n">
        <v>45560</v>
      </c>
      <c r="C346" s="1" t="n">
        <v>45566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2024-10-01T12:15:02Z</dcterms:created>
  <dcterms:modified xmlns:dcterms="http://purl.org/dc/terms/" xmlns:xsi="http://www.w3.org/2001/XMLSchema-instance" xsi:type="dcterms:W3CDTF">2024-10-01T12:15:02Z</dcterms:modified>
</cp:coreProperties>
</file>