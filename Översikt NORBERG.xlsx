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46284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46284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46284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46284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46284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63777-2025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46019</v>
      </c>
      <c r="E7" s="1" t="n">
        <v>46284</v>
      </c>
      <c r="F7" t="inlineStr">
        <is>
          <t>VÄSTMANLANDS LÄN</t>
        </is>
      </c>
      <c r="G7" t="inlineStr">
        <is>
          <t>NORBERG</t>
        </is>
      </c>
      <c r="I7" t="n">
        <v>3.4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8</v>
      </c>
      <c r="U7" t="n">
        <v>8</v>
      </c>
      <c r="V7" s="2" t="inlineStr">
        <is>
          <t>Spillkråka
Fläcknycklar</t>
        </is>
      </c>
      <c r="W7">
        <f>HYPERLINK("https://klasma.github.io/Logging_1962/artfynd/A 63777-2025 artfynd.xlsx", "A 63777-2025")</f>
        <v/>
      </c>
      <c r="X7">
        <f>HYPERLINK("https://klasma.github.io/Logging_1962/kartor/A 63777-2025 karta.png", "A 63777-2025")</f>
        <v/>
      </c>
      <c r="Y7">
        <f>HYPERLINK("https://klasma.github.io/Logging_1962/kartor_geotiff/A 63777-2025 georefererad karta.tif", "A 63777-2025")</f>
        <v/>
      </c>
      <c r="AA7">
        <f>HYPERLINK("https://klasma.github.io/Logging_1962/klagomål/A 63777-2025 FSC-klagomål.docx", "A 63777-2025")</f>
        <v/>
      </c>
      <c r="AB7">
        <f>HYPERLINK("https://klasma.github.io/Logging_1962/klagomålsmail/A 63777-2025 FSC-klagomål mail.docx", "A 63777-2025")</f>
        <v/>
      </c>
      <c r="AC7">
        <f>HYPERLINK("https://klasma.github.io/Logging_1962/tillsyn/A 63777-2025 tillsynsbegäran.docx", "A 63777-2025")</f>
        <v/>
      </c>
      <c r="AD7">
        <f>HYPERLINK("https://klasma.github.io/Logging_1962/tillsynsmail/A 63777-2025 tillsynsbegäran mail.docx", "A 63777-2025")</f>
        <v/>
      </c>
      <c r="AE7">
        <f>HYPERLINK("https://klasma.github.io/Logging_1962/fåglar/A 63777-2025 prioriterade fågelarter.docx", "A 63777-2025")</f>
        <v/>
      </c>
    </row>
    <row r="8" ht="15" customHeight="1">
      <c r="A8" t="inlineStr">
        <is>
          <t>A 26072-2023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45091</v>
      </c>
      <c r="E8" s="1" t="n">
        <v>46284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26072-2023 artfynd.xlsx", "A 26072-2023")</f>
        <v/>
      </c>
      <c r="X8">
        <f>HYPERLINK("https://klasma.github.io/Logging_1962/kartor/A 26072-2023 karta.png", "A 26072-2023")</f>
        <v/>
      </c>
      <c r="Y8">
        <f>HYPERLINK("https://klasma.github.io/Logging_1962/kartor_geotiff/A 26072-2023 georefererad karta.tif", "A 26072-2023")</f>
        <v/>
      </c>
      <c r="AA8">
        <f>HYPERLINK("https://klasma.github.io/Logging_1962/klagomål/A 26072-2023 FSC-klagomål.docx", "A 26072-2023")</f>
        <v/>
      </c>
      <c r="AB8">
        <f>HYPERLINK("https://klasma.github.io/Logging_1962/klagomålsmail/A 26072-2023 FSC-klagomål mail.docx", "A 26072-2023")</f>
        <v/>
      </c>
      <c r="AC8">
        <f>HYPERLINK("https://klasma.github.io/Logging_1962/tillsyn/A 26072-2023 tillsynsbegäran.docx", "A 26072-2023")</f>
        <v/>
      </c>
      <c r="AD8">
        <f>HYPERLINK("https://klasma.github.io/Logging_1962/tillsynsmail/A 26072-2023 tillsynsbegäran mail.docx", "A 26072-2023")</f>
        <v/>
      </c>
      <c r="AE8">
        <f>HYPERLINK("https://klasma.github.io/Logging_1962/fåglar/A 26072-2023 prioriterade fågelarter.docx", "A 26072-2023")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46284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46284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46284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46284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46284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46284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46284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46284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46284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20407-2026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46139</v>
      </c>
      <c r="E18" s="1" t="n">
        <v>46284</v>
      </c>
      <c r="F18" t="inlineStr">
        <is>
          <t>VÄSTMANLANDS LÄN</t>
        </is>
      </c>
      <c r="G18" t="inlineStr">
        <is>
          <t>NORBERG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HYPERLINK("https://klasma.github.io/Logging_1962/artfynd/A 20407-2026 artfynd.xlsx", "A 20407-2026")</f>
        <v/>
      </c>
      <c r="X18">
        <f>HYPERLINK("https://klasma.github.io/Logging_1962/kartor/A 20407-2026 karta.png", "A 20407-2026")</f>
        <v/>
      </c>
      <c r="Y18">
        <f>HYPERLINK("https://klasma.github.io/Logging_1962/kartor_geotiff/A 20407-2026 georefererad karta.tif", "A 20407-2026")</f>
        <v/>
      </c>
      <c r="AA18">
        <f>HYPERLINK("https://klasma.github.io/Logging_1962/klagomål/A 20407-2026 FSC-klagomål.docx", "A 20407-2026")</f>
        <v/>
      </c>
      <c r="AB18">
        <f>HYPERLINK("https://klasma.github.io/Logging_1962/klagomålsmail/A 20407-2026 FSC-klagomål mail.docx", "A 20407-2026")</f>
        <v/>
      </c>
      <c r="AC18">
        <f>HYPERLINK("https://klasma.github.io/Logging_1962/tillsyn/A 20407-2026 tillsynsbegäran.docx", "A 20407-2026")</f>
        <v/>
      </c>
      <c r="AD18">
        <f>HYPERLINK("https://klasma.github.io/Logging_1962/tillsynsmail/A 20407-2026 tillsynsbegäran mail.docx", "A 20407-2026")</f>
        <v/>
      </c>
      <c r="AE18">
        <f>HYPERLINK("https://klasma.github.io/Logging_1962/fåglar/A 20407-2026 prioriterade fågelarter.docx", "A 20407-2026")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46284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18464-2025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46284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1.1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Skogsknipprot</t>
        </is>
      </c>
      <c r="W20">
        <f>HYPERLINK("https://klasma.github.io/Logging_1962/artfynd/A 18464-2025 artfynd.xlsx", "A 18464-2025")</f>
        <v/>
      </c>
      <c r="X20">
        <f>HYPERLINK("https://klasma.github.io/Logging_1962/kartor/A 18464-2025 karta.png", "A 18464-2025")</f>
        <v/>
      </c>
      <c r="Y20">
        <f>HYPERLINK("https://klasma.github.io/Logging_1962/kartor_geotiff/A 18464-2025 georefererad karta.tif", "A 18464-2025")</f>
        <v/>
      </c>
      <c r="AA20">
        <f>HYPERLINK("https://klasma.github.io/Logging_1962/klagomål/A 18464-2025 FSC-klagomål.docx", "A 18464-2025")</f>
        <v/>
      </c>
      <c r="AB20">
        <f>HYPERLINK("https://klasma.github.io/Logging_1962/klagomålsmail/A 18464-2025 FSC-klagomål mail.docx", "A 18464-2025")</f>
        <v/>
      </c>
      <c r="AC20">
        <f>HYPERLINK("https://klasma.github.io/Logging_1962/tillsyn/A 18464-2025 tillsynsbegäran.docx", "A 18464-2025")</f>
        <v/>
      </c>
      <c r="AD20">
        <f>HYPERLINK("https://klasma.github.io/Logging_1962/tillsynsmail/A 18464-2025 tillsynsbegäran mail.docx", "A 18464-2025")</f>
        <v/>
      </c>
    </row>
    <row r="21" ht="15" customHeight="1">
      <c r="A21" t="inlineStr">
        <is>
          <t>A 28307-2026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46196</v>
      </c>
      <c r="E21" s="1" t="n">
        <v>46284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Plattlummer</t>
        </is>
      </c>
      <c r="W21">
        <f>HYPERLINK("https://klasma.github.io/Logging_1962/artfynd/A 28307-2026 artfynd.xlsx", "A 28307-2026")</f>
        <v/>
      </c>
      <c r="X21">
        <f>HYPERLINK("https://klasma.github.io/Logging_1962/kartor/A 28307-2026 karta.png", "A 28307-2026")</f>
        <v/>
      </c>
      <c r="Y21">
        <f>HYPERLINK("https://klasma.github.io/Logging_1962/kartor_geotiff/A 28307-2026 georefererad karta.tif", "A 28307-2026")</f>
        <v/>
      </c>
      <c r="AA21">
        <f>HYPERLINK("https://klasma.github.io/Logging_1962/klagomål/A 28307-2026 FSC-klagomål.docx", "A 28307-2026")</f>
        <v/>
      </c>
      <c r="AB21">
        <f>HYPERLINK("https://klasma.github.io/Logging_1962/klagomålsmail/A 28307-2026 FSC-klagomål mail.docx", "A 28307-2026")</f>
        <v/>
      </c>
      <c r="AC21">
        <f>HYPERLINK("https://klasma.github.io/Logging_1962/tillsyn/A 28307-2026 tillsynsbegäran.docx", "A 28307-2026")</f>
        <v/>
      </c>
      <c r="AD21">
        <f>HYPERLINK("https://klasma.github.io/Logging_1962/tillsynsmail/A 28307-2026 tillsynsbegäran mail.docx", "A 28307-2026")</f>
        <v/>
      </c>
    </row>
    <row r="22" ht="15" customHeight="1">
      <c r="A22" t="inlineStr">
        <is>
          <t>A 52063-2022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44873</v>
      </c>
      <c r="E22" s="1" t="n">
        <v>46284</v>
      </c>
      <c r="F22" t="inlineStr">
        <is>
          <t>VÄSTMANLANDS LÄN</t>
        </is>
      </c>
      <c r="G22" t="inlineStr">
        <is>
          <t>NORBERG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52063-2022 artfynd.xlsx", "A 52063-2022")</f>
        <v/>
      </c>
      <c r="X22">
        <f>HYPERLINK("https://klasma.github.io/Logging_1962/kartor/A 52063-2022 karta.png", "A 52063-2022")</f>
        <v/>
      </c>
      <c r="Y22">
        <f>HYPERLINK("https://klasma.github.io/Logging_1962/kartor_geotiff/A 52063-2022 georefererad karta.tif", "A 52063-2022")</f>
        <v/>
      </c>
      <c r="AA22">
        <f>HYPERLINK("https://klasma.github.io/Logging_1962/klagomål/A 52063-2022 FSC-klagomål.docx", "A 52063-2022")</f>
        <v/>
      </c>
      <c r="AB22">
        <f>HYPERLINK("https://klasma.github.io/Logging_1962/klagomålsmail/A 52063-2022 FSC-klagomål mail.docx", "A 52063-2022")</f>
        <v/>
      </c>
      <c r="AC22">
        <f>HYPERLINK("https://klasma.github.io/Logging_1962/tillsyn/A 52063-2022 tillsynsbegäran.docx", "A 52063-2022")</f>
        <v/>
      </c>
      <c r="AD22">
        <f>HYPERLINK("https://klasma.github.io/Logging_1962/tillsynsmail/A 52063-2022 tillsynsbegäran mail.docx", "A 52063-2022")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46284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34234-2026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46284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34234-2026 artfynd.xlsx", "A 34234-2026")</f>
        <v/>
      </c>
      <c r="X24">
        <f>HYPERLINK("https://klasma.github.io/Logging_1962/kartor/A 34234-2026 karta.png", "A 34234-2026")</f>
        <v/>
      </c>
      <c r="Y24">
        <f>HYPERLINK("https://klasma.github.io/Logging_1962/kartor_geotiff/A 34234-2026 georefererad karta.tif", "A 34234-2026")</f>
        <v/>
      </c>
      <c r="AA24">
        <f>HYPERLINK("https://klasma.github.io/Logging_1962/klagomål/A 34234-2026 FSC-klagomål.docx", "A 34234-2026")</f>
        <v/>
      </c>
      <c r="AB24">
        <f>HYPERLINK("https://klasma.github.io/Logging_1962/klagomålsmail/A 34234-2026 FSC-klagomål mail.docx", "A 34234-2026")</f>
        <v/>
      </c>
      <c r="AC24">
        <f>HYPERLINK("https://klasma.github.io/Logging_1962/tillsyn/A 34234-2026 tillsynsbegäran.docx", "A 34234-2026")</f>
        <v/>
      </c>
      <c r="AD24">
        <f>HYPERLINK("https://klasma.github.io/Logging_1962/tillsynsmail/A 34234-2026 tillsynsbegäran mail.docx", "A 34234-2026")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46284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38017-2025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45882</v>
      </c>
      <c r="E26" s="1" t="n">
        <v>46284</v>
      </c>
      <c r="F26" t="inlineStr">
        <is>
          <t>VÄSTMANLANDS LÄN</t>
        </is>
      </c>
      <c r="G26" t="inlineStr">
        <is>
          <t>NORBERG</t>
        </is>
      </c>
      <c r="H26" t="inlineStr">
        <is>
          <t>Övriga Aktiebolag</t>
        </is>
      </c>
      <c r="I26" t="n">
        <v>15.5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HYPERLINK("https://klasma.github.io/Logging_1962/artfynd/A 38017-2025 artfynd.xlsx", "A 38017-2025")</f>
        <v/>
      </c>
      <c r="X26">
        <f>HYPERLINK("https://klasma.github.io/Logging_1962/kartor/A 38017-2025 karta.png", "A 38017-2025")</f>
        <v/>
      </c>
      <c r="Y26">
        <f>HYPERLINK("https://klasma.github.io/Logging_1962/kartor_geotiff/A 38017-2025 georefererad karta.tif", "A 38017-2025")</f>
        <v/>
      </c>
      <c r="AA26">
        <f>HYPERLINK("https://klasma.github.io/Logging_1962/klagomål/A 38017-2025 FSC-klagomål.docx", "A 38017-2025")</f>
        <v/>
      </c>
      <c r="AB26">
        <f>HYPERLINK("https://klasma.github.io/Logging_1962/klagomålsmail/A 38017-2025 FSC-klagomål mail.docx", "A 38017-2025")</f>
        <v/>
      </c>
      <c r="AC26">
        <f>HYPERLINK("https://klasma.github.io/Logging_1962/tillsyn/A 38017-2025 tillsynsbegäran.docx", "A 38017-2025")</f>
        <v/>
      </c>
      <c r="AD26">
        <f>HYPERLINK("https://klasma.github.io/Logging_1962/tillsynsmail/A 38017-2025 tillsynsbegäran mail.docx", "A 38017-2025")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46284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46284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46284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46284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46284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46284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46284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44600</v>
      </c>
      <c r="E34" s="1" t="n">
        <v>46284</v>
      </c>
      <c r="F34" t="inlineStr">
        <is>
          <t>VÄSTMANLANDS LÄN</t>
        </is>
      </c>
      <c r="G34" t="inlineStr">
        <is>
          <t>NORBERG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46284</v>
      </c>
      <c r="F35" t="inlineStr">
        <is>
          <t>VÄSTMANLANDS LÄN</t>
        </is>
      </c>
      <c r="G35" t="inlineStr">
        <is>
          <t>NORBERG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44838</v>
      </c>
      <c r="E36" s="1" t="n">
        <v>46284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9875-2022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46284</v>
      </c>
      <c r="F37" t="inlineStr">
        <is>
          <t>VÄSTMANLANDS LÄN</t>
        </is>
      </c>
      <c r="G37" t="inlineStr">
        <is>
          <t>NORBERG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46641-2022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44849</v>
      </c>
      <c r="E38" s="1" t="n">
        <v>46284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56929-2021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44480</v>
      </c>
      <c r="E39" s="1" t="n">
        <v>46284</v>
      </c>
      <c r="F39" t="inlineStr">
        <is>
          <t>VÄSTMANLANDS LÄN</t>
        </is>
      </c>
      <c r="G39" t="inlineStr">
        <is>
          <t>NORBERG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46284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46284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46284</v>
      </c>
      <c r="F42" t="inlineStr">
        <is>
          <t>VÄSTMANLANDS LÄN</t>
        </is>
      </c>
      <c r="G42" t="inlineStr">
        <is>
          <t>NORBERG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2312-2022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44578</v>
      </c>
      <c r="E43" s="1" t="n">
        <v>46284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46284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45196</v>
      </c>
      <c r="E45" s="1" t="n">
        <v>46284</v>
      </c>
      <c r="F45" t="inlineStr">
        <is>
          <t>VÄSTMANLANDS LÄN</t>
        </is>
      </c>
      <c r="G45" t="inlineStr">
        <is>
          <t>NORBERG</t>
        </is>
      </c>
      <c r="H45" t="inlineStr">
        <is>
          <t>Bergvik skog väst AB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6388-2025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46284</v>
      </c>
      <c r="F46" t="inlineStr">
        <is>
          <t>VÄSTMANLANDS LÄN</t>
        </is>
      </c>
      <c r="G46" t="inlineStr">
        <is>
          <t>NORBERG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57990-2024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46284</v>
      </c>
      <c r="F47" t="inlineStr">
        <is>
          <t>VÄSTMANLANDS LÄN</t>
        </is>
      </c>
      <c r="G47" t="inlineStr">
        <is>
          <t>NORBERG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51778-2024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46284</v>
      </c>
      <c r="F48" t="inlineStr">
        <is>
          <t>VÄSTMANLANDS LÄN</t>
        </is>
      </c>
      <c r="G48" t="inlineStr">
        <is>
          <t>NORBERG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73797-2021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44552</v>
      </c>
      <c r="E49" s="1" t="n">
        <v>46284</v>
      </c>
      <c r="F49" t="inlineStr">
        <is>
          <t>VÄSTMANLANDS LÄN</t>
        </is>
      </c>
      <c r="G49" t="inlineStr">
        <is>
          <t>NORBERG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37200-2023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45155</v>
      </c>
      <c r="E50" s="1" t="n">
        <v>46284</v>
      </c>
      <c r="F50" t="inlineStr">
        <is>
          <t>VÄSTMANLANDS LÄN</t>
        </is>
      </c>
      <c r="G50" t="inlineStr">
        <is>
          <t>NORBERG</t>
        </is>
      </c>
      <c r="H50" t="inlineStr">
        <is>
          <t>Sveaskog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9907-2024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45363</v>
      </c>
      <c r="E51" s="1" t="n">
        <v>46284</v>
      </c>
      <c r="F51" t="inlineStr">
        <is>
          <t>VÄSTMANLANDS LÄN</t>
        </is>
      </c>
      <c r="G51" t="inlineStr">
        <is>
          <t>NORBERG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53030-2023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45226</v>
      </c>
      <c r="E52" s="1" t="n">
        <v>46284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36905-2023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45154</v>
      </c>
      <c r="E53" s="1" t="n">
        <v>46284</v>
      </c>
      <c r="F53" t="inlineStr">
        <is>
          <t>VÄSTMANLANDS LÄN</t>
        </is>
      </c>
      <c r="G53" t="inlineStr">
        <is>
          <t>NORBERG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45705</v>
      </c>
      <c r="E54" s="1" t="n">
        <v>46284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45200</v>
      </c>
      <c r="E55" s="1" t="n">
        <v>46284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45567</v>
      </c>
      <c r="E56" s="1" t="n">
        <v>46284</v>
      </c>
      <c r="F56" t="inlineStr">
        <is>
          <t>VÄSTMANLANDS LÄN</t>
        </is>
      </c>
      <c r="G56" t="inlineStr">
        <is>
          <t>NORBERG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12526-2025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45730</v>
      </c>
      <c r="E57" s="1" t="n">
        <v>46284</v>
      </c>
      <c r="F57" t="inlineStr">
        <is>
          <t>VÄSTMANLANDS LÄN</t>
        </is>
      </c>
      <c r="G57" t="inlineStr">
        <is>
          <t>NORBERG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45316</v>
      </c>
      <c r="E58" s="1" t="n">
        <v>46284</v>
      </c>
      <c r="F58" t="inlineStr">
        <is>
          <t>VÄSTMANLANDS LÄN</t>
        </is>
      </c>
      <c r="G58" t="inlineStr">
        <is>
          <t>NORBERG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63505-2023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45274</v>
      </c>
      <c r="E59" s="1" t="n">
        <v>46284</v>
      </c>
      <c r="F59" t="inlineStr">
        <is>
          <t>VÄSTMANLANDS LÄN</t>
        </is>
      </c>
      <c r="G59" t="inlineStr">
        <is>
          <t>NORBERG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42198-2023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45179</v>
      </c>
      <c r="E60" s="1" t="n">
        <v>46284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47029-2024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45586</v>
      </c>
      <c r="E61" s="1" t="n">
        <v>46284</v>
      </c>
      <c r="F61" t="inlineStr">
        <is>
          <t>VÄSTMANLANDS LÄN</t>
        </is>
      </c>
      <c r="G61" t="inlineStr">
        <is>
          <t>NORBERG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19075-2022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44691</v>
      </c>
      <c r="E62" s="1" t="n">
        <v>46284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45001</v>
      </c>
      <c r="E63" s="1" t="n">
        <v>46284</v>
      </c>
      <c r="F63" t="inlineStr">
        <is>
          <t>VÄSTMANLANDS LÄN</t>
        </is>
      </c>
      <c r="G63" t="inlineStr">
        <is>
          <t>NORBERG</t>
        </is>
      </c>
      <c r="I63" t="n">
        <v>22.4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46284</v>
      </c>
      <c r="F64" t="inlineStr">
        <is>
          <t>VÄSTMANLANDS LÄN</t>
        </is>
      </c>
      <c r="G64" t="inlineStr">
        <is>
          <t>NORBERG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12110-2025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45729</v>
      </c>
      <c r="E65" s="1" t="n">
        <v>46284</v>
      </c>
      <c r="F65" t="inlineStr">
        <is>
          <t>VÄSTMANLANDS LÄN</t>
        </is>
      </c>
      <c r="G65" t="inlineStr">
        <is>
          <t>NORBERG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45405</v>
      </c>
      <c r="E66" s="1" t="n">
        <v>46284</v>
      </c>
      <c r="F66" t="inlineStr">
        <is>
          <t>VÄSTMANLANDS LÄN</t>
        </is>
      </c>
      <c r="G66" t="inlineStr">
        <is>
          <t>NORBERG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19173-2025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45769</v>
      </c>
      <c r="E67" s="1" t="n">
        <v>46284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46284</v>
      </c>
      <c r="F68" t="inlineStr">
        <is>
          <t>VÄSTMANLANDS LÄN</t>
        </is>
      </c>
      <c r="G68" t="inlineStr">
        <is>
          <t>NORBERG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45169</v>
      </c>
      <c r="E69" s="1" t="n">
        <v>46284</v>
      </c>
      <c r="F69" t="inlineStr">
        <is>
          <t>VÄSTMANLANDS LÄN</t>
        </is>
      </c>
      <c r="G69" t="inlineStr">
        <is>
          <t>NORBERG</t>
        </is>
      </c>
      <c r="H69" t="inlineStr">
        <is>
          <t>Sveaskog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50124-2022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44860</v>
      </c>
      <c r="E70" s="1" t="n">
        <v>46284</v>
      </c>
      <c r="F70" t="inlineStr">
        <is>
          <t>VÄSTMANLANDS LÄN</t>
        </is>
      </c>
      <c r="G70" t="inlineStr">
        <is>
          <t>NORBERG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45598</v>
      </c>
      <c r="E71" s="1" t="n">
        <v>46284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45232</v>
      </c>
      <c r="E72" s="1" t="n">
        <v>46284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45679</v>
      </c>
      <c r="E73" s="1" t="n">
        <v>46284</v>
      </c>
      <c r="F73" t="inlineStr">
        <is>
          <t>VÄSTMANLANDS LÄN</t>
        </is>
      </c>
      <c r="G73" t="inlineStr">
        <is>
          <t>NORBERG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57993-2024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45631</v>
      </c>
      <c r="E74" s="1" t="n">
        <v>46284</v>
      </c>
      <c r="F74" t="inlineStr">
        <is>
          <t>VÄSTMANLANDS LÄN</t>
        </is>
      </c>
      <c r="G74" t="inlineStr">
        <is>
          <t>NORBERG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44992</v>
      </c>
      <c r="E75" s="1" t="n">
        <v>46284</v>
      </c>
      <c r="F75" t="inlineStr">
        <is>
          <t>VÄSTMANLANDS LÄN</t>
        </is>
      </c>
      <c r="G75" t="inlineStr">
        <is>
          <t>NORBERG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48396-2023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45205</v>
      </c>
      <c r="E76" s="1" t="n">
        <v>46284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44884-2025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46284</v>
      </c>
      <c r="F77" t="inlineStr">
        <is>
          <t>VÄSTMANLANDS LÄN</t>
        </is>
      </c>
      <c r="G77" t="inlineStr">
        <is>
          <t>NORBERG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45066-2023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45191</v>
      </c>
      <c r="E78" s="1" t="n">
        <v>46284</v>
      </c>
      <c r="F78" t="inlineStr">
        <is>
          <t>VÄSTMANLANDS LÄN</t>
        </is>
      </c>
      <c r="G78" t="inlineStr">
        <is>
          <t>NORBERG</t>
        </is>
      </c>
      <c r="H78" t="inlineStr">
        <is>
          <t>Bergvik skog väst AB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20968-2026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46142</v>
      </c>
      <c r="E79" s="1" t="n">
        <v>46284</v>
      </c>
      <c r="F79" t="inlineStr">
        <is>
          <t>VÄSTMANLANDS LÄN</t>
        </is>
      </c>
      <c r="G79" t="inlineStr">
        <is>
          <t>NORBERG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49001-2025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46284</v>
      </c>
      <c r="F80" t="inlineStr">
        <is>
          <t>VÄSTMANLANDS LÄN</t>
        </is>
      </c>
      <c r="G80" t="inlineStr">
        <is>
          <t>NORBERG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46146</v>
      </c>
      <c r="E81" s="1" t="n">
        <v>46284</v>
      </c>
      <c r="F81" t="inlineStr">
        <is>
          <t>VÄSTMANLANDS LÄN</t>
        </is>
      </c>
      <c r="G81" t="inlineStr">
        <is>
          <t>NORBERG</t>
        </is>
      </c>
      <c r="H81" t="inlineStr">
        <is>
          <t>Bergvik skog väst AB</t>
        </is>
      </c>
      <c r="I81" t="n">
        <v>12.1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49763-2024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45597</v>
      </c>
      <c r="E82" s="1" t="n">
        <v>46284</v>
      </c>
      <c r="F82" t="inlineStr">
        <is>
          <t>VÄSTMANLANDS LÄN</t>
        </is>
      </c>
      <c r="G82" t="inlineStr">
        <is>
          <t>NORBERG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46284</v>
      </c>
      <c r="F83" t="inlineStr">
        <is>
          <t>VÄSTMANLANDS LÄN</t>
        </is>
      </c>
      <c r="G83" t="inlineStr">
        <is>
          <t>NORBERG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46148</v>
      </c>
      <c r="E84" s="1" t="n">
        <v>46284</v>
      </c>
      <c r="F84" t="inlineStr">
        <is>
          <t>VÄSTMANLANDS LÄN</t>
        </is>
      </c>
      <c r="G84" t="inlineStr">
        <is>
          <t>NORBERG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21526-2026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46148</v>
      </c>
      <c r="E85" s="1" t="n">
        <v>46284</v>
      </c>
      <c r="F85" t="inlineStr">
        <is>
          <t>VÄSTMANLANDS LÄN</t>
        </is>
      </c>
      <c r="G85" t="inlineStr">
        <is>
          <t>NORBERG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36443-2024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46284</v>
      </c>
      <c r="F86" t="inlineStr">
        <is>
          <t>VÄSTMANLANDS LÄN</t>
        </is>
      </c>
      <c r="G86" t="inlineStr">
        <is>
          <t>NORBERG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46149</v>
      </c>
      <c r="E87" s="1" t="n">
        <v>46284</v>
      </c>
      <c r="F87" t="inlineStr">
        <is>
          <t>VÄSTMANLANDS LÄN</t>
        </is>
      </c>
      <c r="G87" t="inlineStr">
        <is>
          <t>NORBERG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46284</v>
      </c>
      <c r="F88" t="inlineStr">
        <is>
          <t>VÄSTMANLANDS LÄN</t>
        </is>
      </c>
      <c r="G88" t="inlineStr">
        <is>
          <t>NORBERG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21973-2026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46153</v>
      </c>
      <c r="E89" s="1" t="n">
        <v>46284</v>
      </c>
      <c r="F89" t="inlineStr">
        <is>
          <t>VÄSTMANLANDS LÄN</t>
        </is>
      </c>
      <c r="G89" t="inlineStr">
        <is>
          <t>NORBERG</t>
        </is>
      </c>
      <c r="H89" t="inlineStr">
        <is>
          <t>Bergvik skog väst AB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21983-2026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46153</v>
      </c>
      <c r="E90" s="1" t="n">
        <v>46284</v>
      </c>
      <c r="F90" t="inlineStr">
        <is>
          <t>VÄSTMANLANDS LÄN</t>
        </is>
      </c>
      <c r="G90" t="inlineStr">
        <is>
          <t>NORBERG</t>
        </is>
      </c>
      <c r="H90" t="inlineStr">
        <is>
          <t>Övriga Aktiebolag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51790-2024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45607</v>
      </c>
      <c r="E91" s="1" t="n">
        <v>46284</v>
      </c>
      <c r="F91" t="inlineStr">
        <is>
          <t>VÄSTMANLANDS LÄN</t>
        </is>
      </c>
      <c r="G91" t="inlineStr">
        <is>
          <t>NORBERG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45966</v>
      </c>
      <c r="E92" s="1" t="n">
        <v>46284</v>
      </c>
      <c r="F92" t="inlineStr">
        <is>
          <t>VÄSTMANLANDS LÄN</t>
        </is>
      </c>
      <c r="G92" t="inlineStr">
        <is>
          <t>NORBERG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45764</v>
      </c>
      <c r="E93" s="1" t="n">
        <v>46284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46284</v>
      </c>
      <c r="F94" t="inlineStr">
        <is>
          <t>VÄSTMANLANDS LÄN</t>
        </is>
      </c>
      <c r="G94" t="inlineStr">
        <is>
          <t>NORBERG</t>
        </is>
      </c>
      <c r="H94" t="inlineStr">
        <is>
          <t>Övriga Aktiebolag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46284</v>
      </c>
      <c r="F95" t="inlineStr">
        <is>
          <t>VÄSTMANLANDS LÄN</t>
        </is>
      </c>
      <c r="G95" t="inlineStr">
        <is>
          <t>NORBERG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8746-2023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44973</v>
      </c>
      <c r="E96" s="1" t="n">
        <v>46284</v>
      </c>
      <c r="F96" t="inlineStr">
        <is>
          <t>VÄSTMANLANDS LÄN</t>
        </is>
      </c>
      <c r="G96" t="inlineStr">
        <is>
          <t>NORBERG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3587-2024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45320</v>
      </c>
      <c r="E97" s="1" t="n">
        <v>46284</v>
      </c>
      <c r="F97" t="inlineStr">
        <is>
          <t>VÄSTMANLANDS LÄN</t>
        </is>
      </c>
      <c r="G97" t="inlineStr">
        <is>
          <t>NORBERG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23702-2024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45454</v>
      </c>
      <c r="E98" s="1" t="n">
        <v>46284</v>
      </c>
      <c r="F98" t="inlineStr">
        <is>
          <t>VÄSTMANLANDS LÄN</t>
        </is>
      </c>
      <c r="G98" t="inlineStr">
        <is>
          <t>NORBERG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23705-2024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45454</v>
      </c>
      <c r="E99" s="1" t="n">
        <v>46284</v>
      </c>
      <c r="F99" t="inlineStr">
        <is>
          <t>VÄSTMANLANDS LÄN</t>
        </is>
      </c>
      <c r="G99" t="inlineStr">
        <is>
          <t>NORBERG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59527-2025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45989</v>
      </c>
      <c r="E100" s="1" t="n">
        <v>46284</v>
      </c>
      <c r="F100" t="inlineStr">
        <is>
          <t>VÄSTMANLANDS LÄN</t>
        </is>
      </c>
      <c r="G100" t="inlineStr">
        <is>
          <t>NORBERG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46284</v>
      </c>
      <c r="F101" t="inlineStr">
        <is>
          <t>VÄSTMANLANDS LÄN</t>
        </is>
      </c>
      <c r="G101" t="inlineStr">
        <is>
          <t>NORBERG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56400-2025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45974</v>
      </c>
      <c r="E102" s="1" t="n">
        <v>46284</v>
      </c>
      <c r="F102" t="inlineStr">
        <is>
          <t>VÄSTMANLANDS LÄN</t>
        </is>
      </c>
      <c r="G102" t="inlineStr">
        <is>
          <t>NORBERG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19377-2025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45769</v>
      </c>
      <c r="E103" s="1" t="n">
        <v>46284</v>
      </c>
      <c r="F103" t="inlineStr">
        <is>
          <t>VÄSTMANLANDS LÄN</t>
        </is>
      </c>
      <c r="G103" t="inlineStr">
        <is>
          <t>NORBERG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45408</v>
      </c>
      <c r="E104" s="1" t="n">
        <v>46284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46284</v>
      </c>
      <c r="F105" t="inlineStr">
        <is>
          <t>VÄSTMANLANDS LÄN</t>
        </is>
      </c>
      <c r="G105" t="inlineStr">
        <is>
          <t>NORBERG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46284</v>
      </c>
      <c r="F106" t="inlineStr">
        <is>
          <t>VÄSTMANLANDS LÄN</t>
        </is>
      </c>
      <c r="G106" t="inlineStr">
        <is>
          <t>NORBERG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20381-2023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45056</v>
      </c>
      <c r="E107" s="1" t="n">
        <v>46284</v>
      </c>
      <c r="F107" t="inlineStr">
        <is>
          <t>VÄSTMANLANDS LÄN</t>
        </is>
      </c>
      <c r="G107" t="inlineStr">
        <is>
          <t>NORBERG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45155</v>
      </c>
      <c r="E108" s="1" t="n">
        <v>46284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46014</v>
      </c>
      <c r="E109" s="1" t="n">
        <v>46284</v>
      </c>
      <c r="F109" t="inlineStr">
        <is>
          <t>VÄSTMANLANDS LÄN</t>
        </is>
      </c>
      <c r="G109" t="inlineStr">
        <is>
          <t>NORBERG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46014</v>
      </c>
      <c r="E110" s="1" t="n">
        <v>46284</v>
      </c>
      <c r="F110" t="inlineStr">
        <is>
          <t>VÄSTMANLANDS LÄN</t>
        </is>
      </c>
      <c r="G110" t="inlineStr">
        <is>
          <t>NORBERG</t>
        </is>
      </c>
      <c r="I110" t="n">
        <v>22.8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20378-2023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45056</v>
      </c>
      <c r="E111" s="1" t="n">
        <v>46284</v>
      </c>
      <c r="F111" t="inlineStr">
        <is>
          <t>VÄSTMANLANDS LÄN</t>
        </is>
      </c>
      <c r="G111" t="inlineStr">
        <is>
          <t>NORBERG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59705-2024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45639</v>
      </c>
      <c r="E112" s="1" t="n">
        <v>46284</v>
      </c>
      <c r="F112" t="inlineStr">
        <is>
          <t>VÄSTMANLANDS LÄN</t>
        </is>
      </c>
      <c r="G112" t="inlineStr">
        <is>
          <t>NORBERG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46020</v>
      </c>
      <c r="E113" s="1" t="n">
        <v>46284</v>
      </c>
      <c r="F113" t="inlineStr">
        <is>
          <t>VÄSTMANLANDS LÄN</t>
        </is>
      </c>
      <c r="G113" t="inlineStr">
        <is>
          <t>NORBERG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27580-2024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45474</v>
      </c>
      <c r="E114" s="1" t="n">
        <v>46284</v>
      </c>
      <c r="F114" t="inlineStr">
        <is>
          <t>VÄSTMANLANDS LÄN</t>
        </is>
      </c>
      <c r="G114" t="inlineStr">
        <is>
          <t>NORBERG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45588</v>
      </c>
      <c r="E115" s="1" t="n">
        <v>46284</v>
      </c>
      <c r="F115" t="inlineStr">
        <is>
          <t>VÄSTMANLANDS LÄN</t>
        </is>
      </c>
      <c r="G115" t="inlineStr">
        <is>
          <t>NORBERG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44973</v>
      </c>
      <c r="E116" s="1" t="n">
        <v>46284</v>
      </c>
      <c r="F116" t="inlineStr">
        <is>
          <t>VÄSTMANLANDS LÄN</t>
        </is>
      </c>
      <c r="G116" t="inlineStr">
        <is>
          <t>NORBERG</t>
        </is>
      </c>
      <c r="H116" t="inlineStr">
        <is>
          <t>Övriga Aktiebolag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17075-2023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45034</v>
      </c>
      <c r="E117" s="1" t="n">
        <v>46284</v>
      </c>
      <c r="F117" t="inlineStr">
        <is>
          <t>VÄSTMANLANDS LÄN</t>
        </is>
      </c>
      <c r="G117" t="inlineStr">
        <is>
          <t>NORBERG</t>
        </is>
      </c>
      <c r="H117" t="inlineStr">
        <is>
          <t>Bergvik skog väst AB</t>
        </is>
      </c>
      <c r="I117" t="n">
        <v>8.1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46045</v>
      </c>
      <c r="E118" s="1" t="n">
        <v>46284</v>
      </c>
      <c r="F118" t="inlineStr">
        <is>
          <t>VÄSTMANLANDS LÄN</t>
        </is>
      </c>
      <c r="G118" t="inlineStr">
        <is>
          <t>NORBERG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46176</v>
      </c>
      <c r="E119" s="1" t="n">
        <v>46284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46284</v>
      </c>
      <c r="F120" t="inlineStr">
        <is>
          <t>VÄSTMANLANDS LÄN</t>
        </is>
      </c>
      <c r="G120" t="inlineStr">
        <is>
          <t>NORBERG</t>
        </is>
      </c>
      <c r="H120" t="inlineStr">
        <is>
          <t>Övriga Aktiebolag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60339-2025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45994</v>
      </c>
      <c r="E121" s="1" t="n">
        <v>46284</v>
      </c>
      <c r="F121" t="inlineStr">
        <is>
          <t>VÄSTMANLANDS LÄN</t>
        </is>
      </c>
      <c r="G121" t="inlineStr">
        <is>
          <t>NORBERG</t>
        </is>
      </c>
      <c r="H121" t="inlineStr">
        <is>
          <t>Kommuner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45474</v>
      </c>
      <c r="E122" s="1" t="n">
        <v>46284</v>
      </c>
      <c r="F122" t="inlineStr">
        <is>
          <t>VÄSTMANLANDS LÄN</t>
        </is>
      </c>
      <c r="G122" t="inlineStr">
        <is>
          <t>NORBERG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45613</v>
      </c>
      <c r="E123" s="1" t="n">
        <v>46284</v>
      </c>
      <c r="F123" t="inlineStr">
        <is>
          <t>VÄSTMANLANDS LÄN</t>
        </is>
      </c>
      <c r="G123" t="inlineStr">
        <is>
          <t>NORBERG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27473-2026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46189</v>
      </c>
      <c r="E124" s="1" t="n">
        <v>46284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13.7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13471-2026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46093</v>
      </c>
      <c r="E125" s="1" t="n">
        <v>46284</v>
      </c>
      <c r="F125" t="inlineStr">
        <is>
          <t>VÄSTMANLANDS LÄN</t>
        </is>
      </c>
      <c r="G125" t="inlineStr">
        <is>
          <t>NORBERG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13465-2026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46093</v>
      </c>
      <c r="E126" s="1" t="n">
        <v>46284</v>
      </c>
      <c r="F126" t="inlineStr">
        <is>
          <t>VÄSTMANLANDS LÄN</t>
        </is>
      </c>
      <c r="G126" t="inlineStr">
        <is>
          <t>NORBERG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46284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27716-2026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46190</v>
      </c>
      <c r="E128" s="1" t="n">
        <v>46284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14234-2026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46099</v>
      </c>
      <c r="E129" s="1" t="n">
        <v>46284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16503-2024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45408</v>
      </c>
      <c r="E130" s="1" t="n">
        <v>46284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40153-2023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46284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41448-2024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45560</v>
      </c>
      <c r="E132" s="1" t="n">
        <v>46284</v>
      </c>
      <c r="F132" t="inlineStr">
        <is>
          <t>VÄSTMANLANDS LÄN</t>
        </is>
      </c>
      <c r="G132" t="inlineStr">
        <is>
          <t>NORBERG</t>
        </is>
      </c>
      <c r="H132" t="inlineStr">
        <is>
          <t>Bergvik skog väst AB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15261-2026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46284</v>
      </c>
      <c r="F133" t="inlineStr">
        <is>
          <t>VÄSTMANLANDS LÄN</t>
        </is>
      </c>
      <c r="G133" t="inlineStr">
        <is>
          <t>NORBERG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46284</v>
      </c>
      <c r="F134" t="inlineStr">
        <is>
          <t>VÄSTMANLANDS LÄN</t>
        </is>
      </c>
      <c r="G134" t="inlineStr">
        <is>
          <t>NORBERG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46105</v>
      </c>
      <c r="E135" s="1" t="n">
        <v>46284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46108</v>
      </c>
      <c r="E136" s="1" t="n">
        <v>46284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46284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46114</v>
      </c>
      <c r="E138" s="1" t="n">
        <v>46284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45200</v>
      </c>
      <c r="E139" s="1" t="n">
        <v>46284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46284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45769</v>
      </c>
      <c r="E141" s="1" t="n">
        <v>46284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17318-2026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46119</v>
      </c>
      <c r="E142" s="1" t="n">
        <v>46284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45089</v>
      </c>
      <c r="E143" s="1" t="n">
        <v>46284</v>
      </c>
      <c r="F143" t="inlineStr">
        <is>
          <t>VÄSTMANLANDS LÄN</t>
        </is>
      </c>
      <c r="G143" t="inlineStr">
        <is>
          <t>NORBERG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46284</v>
      </c>
      <c r="F144" t="inlineStr">
        <is>
          <t>VÄSTMANLANDS LÄN</t>
        </is>
      </c>
      <c r="G144" t="inlineStr">
        <is>
          <t>NORBERG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58616-2024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45632</v>
      </c>
      <c r="E145" s="1" t="n">
        <v>46284</v>
      </c>
      <c r="F145" t="inlineStr">
        <is>
          <t>VÄSTMANLANDS LÄN</t>
        </is>
      </c>
      <c r="G145" t="inlineStr">
        <is>
          <t>NORBERG</t>
        </is>
      </c>
      <c r="H145" t="inlineStr">
        <is>
          <t>Bergvik skog väst AB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21976-2026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46153</v>
      </c>
      <c r="E146" s="1" t="n">
        <v>46284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45063</v>
      </c>
      <c r="E147" s="1" t="n">
        <v>46284</v>
      </c>
      <c r="F147" t="inlineStr">
        <is>
          <t>VÄSTMANLANDS LÄN</t>
        </is>
      </c>
      <c r="G147" t="inlineStr">
        <is>
          <t>NORBERG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46284</v>
      </c>
      <c r="F148" t="inlineStr">
        <is>
          <t>VÄSTMANLANDS LÄN</t>
        </is>
      </c>
      <c r="G148" t="inlineStr">
        <is>
          <t>NORBERG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46284</v>
      </c>
      <c r="F149" t="inlineStr">
        <is>
          <t>VÄSTMANLANDS LÄN</t>
        </is>
      </c>
      <c r="G149" t="inlineStr">
        <is>
          <t>NORBERG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67356-2021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46284</v>
      </c>
      <c r="F150" t="inlineStr">
        <is>
          <t>VÄSTMANLANDS LÄN</t>
        </is>
      </c>
      <c r="G150" t="inlineStr">
        <is>
          <t>NORBERG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46284</v>
      </c>
      <c r="F151" t="inlineStr">
        <is>
          <t>VÄSTMANLANDS LÄN</t>
        </is>
      </c>
      <c r="G151" t="inlineStr">
        <is>
          <t>NORBERG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56940-2021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44480</v>
      </c>
      <c r="E152" s="1" t="n">
        <v>46284</v>
      </c>
      <c r="F152" t="inlineStr">
        <is>
          <t>VÄSTMANLANDS LÄN</t>
        </is>
      </c>
      <c r="G152" t="inlineStr">
        <is>
          <t>NORBERG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46246</v>
      </c>
      <c r="E153" s="1" t="n">
        <v>46284</v>
      </c>
      <c r="F153" t="inlineStr">
        <is>
          <t>VÄSTMANLANDS LÄN</t>
        </is>
      </c>
      <c r="G153" t="inlineStr">
        <is>
          <t>NORBERG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46247</v>
      </c>
      <c r="E154" s="1" t="n">
        <v>46284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45233</v>
      </c>
      <c r="E155" s="1" t="n">
        <v>46284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45121</v>
      </c>
      <c r="E156" s="1" t="n">
        <v>46284</v>
      </c>
      <c r="F156" t="inlineStr">
        <is>
          <t>VÄSTMANLANDS LÄN</t>
        </is>
      </c>
      <c r="G156" t="inlineStr">
        <is>
          <t>NORBERG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45028</v>
      </c>
      <c r="E157" s="1" t="n">
        <v>46284</v>
      </c>
      <c r="F157" t="inlineStr">
        <is>
          <t>VÄSTMANLANDS LÄN</t>
        </is>
      </c>
      <c r="G157" t="inlineStr">
        <is>
          <t>NORBERG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25477-2023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45089</v>
      </c>
      <c r="E158" s="1" t="n">
        <v>46284</v>
      </c>
      <c r="F158" t="inlineStr">
        <is>
          <t>VÄSTMANLANDS LÄN</t>
        </is>
      </c>
      <c r="G158" t="inlineStr">
        <is>
          <t>NORBERG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45567</v>
      </c>
      <c r="E159" s="1" t="n">
        <v>46284</v>
      </c>
      <c r="F159" t="inlineStr">
        <is>
          <t>VÄSTMANLANDS LÄN</t>
        </is>
      </c>
      <c r="G159" t="inlineStr">
        <is>
          <t>NORBERG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34832-2026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46284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44727</v>
      </c>
      <c r="E161" s="1" t="n">
        <v>46284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45607</v>
      </c>
      <c r="E162" s="1" t="n">
        <v>46284</v>
      </c>
      <c r="F162" t="inlineStr">
        <is>
          <t>VÄSTMANLANDS LÄN</t>
        </is>
      </c>
      <c r="G162" t="inlineStr">
        <is>
          <t>NORBERG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44992</v>
      </c>
      <c r="E163" s="1" t="n">
        <v>46284</v>
      </c>
      <c r="F163" t="inlineStr">
        <is>
          <t>VÄSTMANLANDS LÄN</t>
        </is>
      </c>
      <c r="G163" t="inlineStr">
        <is>
          <t>NORBERG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40144-2023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46284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46265</v>
      </c>
      <c r="E165" s="1" t="n">
        <v>46284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35726-2026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46265</v>
      </c>
      <c r="E166" s="1" t="n">
        <v>46284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46284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31483-2026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46223</v>
      </c>
      <c r="E168" s="1" t="n">
        <v>46284</v>
      </c>
      <c r="F168" t="inlineStr">
        <is>
          <t>VÄSTMANLANDS LÄN</t>
        </is>
      </c>
      <c r="G168" t="inlineStr">
        <is>
          <t>NORBERG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36389-2026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46268</v>
      </c>
      <c r="E169" s="1" t="n">
        <v>46284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21232-2024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46284</v>
      </c>
      <c r="F170" t="inlineStr">
        <is>
          <t>VÄSTMANLANDS LÄN</t>
        </is>
      </c>
      <c r="G170" t="inlineStr">
        <is>
          <t>NORBERG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36394-2026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46268</v>
      </c>
      <c r="E171" s="1" t="n">
        <v>46284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8.9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45065-2023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45191</v>
      </c>
      <c r="E172" s="1" t="n">
        <v>46284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46041-2023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45196</v>
      </c>
      <c r="E173" s="1" t="n">
        <v>46284</v>
      </c>
      <c r="F173" t="inlineStr">
        <is>
          <t>VÄSTMANLANDS LÄN</t>
        </is>
      </c>
      <c r="G173" t="inlineStr">
        <is>
          <t>NORBERG</t>
        </is>
      </c>
      <c r="H173" t="inlineStr">
        <is>
          <t>Bergvik skog väst AB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46197</v>
      </c>
      <c r="E174" s="1" t="n">
        <v>46284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28608-2026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46284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45390</v>
      </c>
      <c r="E176" s="1" t="n">
        <v>46284</v>
      </c>
      <c r="F176" t="inlineStr">
        <is>
          <t>VÄSTMANLANDS LÄN</t>
        </is>
      </c>
      <c r="G176" t="inlineStr">
        <is>
          <t>NORBERG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34232-2026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46253</v>
      </c>
      <c r="E177" s="1" t="n">
        <v>46284</v>
      </c>
      <c r="F177" t="inlineStr">
        <is>
          <t>VÄSTMANLANDS LÄN</t>
        </is>
      </c>
      <c r="G177" t="inlineStr">
        <is>
          <t>NORBERG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36013-2026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46284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46232</v>
      </c>
      <c r="E179" s="1" t="n">
        <v>46284</v>
      </c>
      <c r="F179" t="inlineStr">
        <is>
          <t>VÄSTMANLANDS LÄN</t>
        </is>
      </c>
      <c r="G179" t="inlineStr">
        <is>
          <t>NORBERG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31967-2026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46232</v>
      </c>
      <c r="E180" s="1" t="n">
        <v>46284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46233</v>
      </c>
      <c r="E181" s="1" t="n">
        <v>46284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32385-2026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46238</v>
      </c>
      <c r="E182" s="1" t="n">
        <v>46284</v>
      </c>
      <c r="F182" t="inlineStr">
        <is>
          <t>VÄSTMANLANDS LÄN</t>
        </is>
      </c>
      <c r="G182" t="inlineStr">
        <is>
          <t>NORBERG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46284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46284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45290-2024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45576</v>
      </c>
      <c r="E185" s="1" t="n">
        <v>46284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9.300000000000001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45274</v>
      </c>
      <c r="E186" s="1" t="n">
        <v>46284</v>
      </c>
      <c r="F186" t="inlineStr">
        <is>
          <t>VÄSTMANLANDS LÄN</t>
        </is>
      </c>
      <c r="G186" t="inlineStr">
        <is>
          <t>NORBERG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46284</v>
      </c>
      <c r="F187" t="inlineStr">
        <is>
          <t>VÄSTMANLANDS LÄN</t>
        </is>
      </c>
      <c r="G187" t="inlineStr">
        <is>
          <t>NORBERG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30211-2025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45827</v>
      </c>
      <c r="E188" s="1" t="n">
        <v>46284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38018-2025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45882</v>
      </c>
      <c r="E189" s="1" t="n">
        <v>46284</v>
      </c>
      <c r="F189" t="inlineStr">
        <is>
          <t>VÄSTMANLANDS LÄN</t>
        </is>
      </c>
      <c r="G189" t="inlineStr">
        <is>
          <t>NORBERG</t>
        </is>
      </c>
      <c r="H189" t="inlineStr">
        <is>
          <t>Övriga Aktiebolag</t>
        </is>
      </c>
      <c r="I189" t="n">
        <v>15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45882</v>
      </c>
      <c r="E190" s="1" t="n">
        <v>46284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46284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46284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46284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2026-09-19T02:06:16Z</dcterms:created>
  <dcterms:modified xmlns:dcterms="http://purl.org/dc/terms/" xmlns:xsi="http://www.w3.org/2001/XMLSchema-instance" xsi:type="dcterms:W3CDTF">2026-09-19T02:06:17Z</dcterms:modified>
</cp:coreProperties>
</file>