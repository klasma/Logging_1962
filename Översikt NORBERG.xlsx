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46283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46283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46283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46283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46283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46283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46283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46283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46283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46283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46283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46283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46283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34967-2023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45142</v>
      </c>
      <c r="E17" s="1" t="n">
        <v>46283</v>
      </c>
      <c r="F17" t="inlineStr">
        <is>
          <t>VÄSTMANLANDS LÄN</t>
        </is>
      </c>
      <c r="G17" t="inlineStr">
        <is>
          <t>NORBERG</t>
        </is>
      </c>
      <c r="H17" t="inlineStr">
        <is>
          <t>Kyrkan</t>
        </is>
      </c>
      <c r="I17" t="n">
        <v>0.6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Skogsklocka</t>
        </is>
      </c>
      <c r="W17">
        <f>HYPERLINK("https://klasma.github.io/Logging_1962/artfynd/A 34967-2023 artfynd.xlsx", "A 34967-2023")</f>
        <v/>
      </c>
      <c r="X17">
        <f>HYPERLINK("https://klasma.github.io/Logging_1962/kartor/A 34967-2023 karta.png", "A 34967-2023")</f>
        <v/>
      </c>
      <c r="Y17">
        <f>HYPERLINK("https://klasma.github.io/Logging_1962/kartor_geotiff/A 34967-2023 georefererad karta.tif", "A 34967-2023")</f>
        <v/>
      </c>
      <c r="AA17">
        <f>HYPERLINK("https://klasma.github.io/Logging_1962/klagomål/A 34967-2023 FSC-klagomål.docx", "A 34967-2023")</f>
        <v/>
      </c>
      <c r="AB17">
        <f>HYPERLINK("https://klasma.github.io/Logging_1962/klagomålsmail/A 34967-2023 FSC-klagomål mail.docx", "A 34967-2023")</f>
        <v/>
      </c>
      <c r="AC17">
        <f>HYPERLINK("https://klasma.github.io/Logging_1962/tillsyn/A 34967-2023 tillsynsbegäran.docx", "A 34967-2023")</f>
        <v/>
      </c>
      <c r="AD17">
        <f>HYPERLINK("https://klasma.github.io/Logging_1962/tillsynsmail/A 34967-2023 tillsynsbegäran mail.docx", "A 34967-2023")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46283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46283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46283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15107-2025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46283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15107-2025 artfynd.xlsx", "A 15107-2025")</f>
        <v/>
      </c>
      <c r="X22">
        <f>HYPERLINK("https://klasma.github.io/Logging_1962/kartor/A 15107-2025 karta.png", "A 15107-2025")</f>
        <v/>
      </c>
      <c r="Y22">
        <f>HYPERLINK("https://klasma.github.io/Logging_1962/kartor_geotiff/A 15107-2025 georefererad karta.tif", "A 15107-2025")</f>
        <v/>
      </c>
      <c r="AA22">
        <f>HYPERLINK("https://klasma.github.io/Logging_1962/klagomål/A 15107-2025 FSC-klagomål.docx", "A 15107-2025")</f>
        <v/>
      </c>
      <c r="AB22">
        <f>HYPERLINK("https://klasma.github.io/Logging_1962/klagomålsmail/A 15107-2025 FSC-klagomål mail.docx", "A 15107-2025")</f>
        <v/>
      </c>
      <c r="AC22">
        <f>HYPERLINK("https://klasma.github.io/Logging_1962/tillsyn/A 15107-2025 tillsynsbegäran.docx", "A 15107-2025")</f>
        <v/>
      </c>
      <c r="AD22">
        <f>HYPERLINK("https://klasma.github.io/Logging_1962/tillsynsmail/A 15107-2025 tillsynsbegäran mail.docx", "A 15107-2025")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46283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46283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46283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61099-2024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46283</v>
      </c>
      <c r="F26" t="inlineStr">
        <is>
          <t>VÄSTMANLANDS LÄN</t>
        </is>
      </c>
      <c r="G26" t="inlineStr">
        <is>
          <t>NORBERG</t>
        </is>
      </c>
      <c r="I26" t="n">
        <v>0.4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HYPERLINK("https://klasma.github.io/Logging_1962/artfynd/A 61099-2024 artfynd.xlsx", "A 61099-2024")</f>
        <v/>
      </c>
      <c r="X26">
        <f>HYPERLINK("https://klasma.github.io/Logging_1962/kartor/A 61099-2024 karta.png", "A 61099-2024")</f>
        <v/>
      </c>
      <c r="Y26">
        <f>HYPERLINK("https://klasma.github.io/Logging_1962/kartor_geotiff/A 61099-2024 georefererad karta.tif", "A 61099-2024")</f>
        <v/>
      </c>
      <c r="AA26">
        <f>HYPERLINK("https://klasma.github.io/Logging_1962/klagomål/A 61099-2024 FSC-klagomål.docx", "A 61099-2024")</f>
        <v/>
      </c>
      <c r="AB26">
        <f>HYPERLINK("https://klasma.github.io/Logging_1962/klagomålsmail/A 61099-2024 FSC-klagomål mail.docx", "A 61099-2024")</f>
        <v/>
      </c>
      <c r="AC26">
        <f>HYPERLINK("https://klasma.github.io/Logging_1962/tillsyn/A 61099-2024 tillsynsbegäran.docx", "A 61099-2024")</f>
        <v/>
      </c>
      <c r="AD26">
        <f>HYPERLINK("https://klasma.github.io/Logging_1962/tillsynsmail/A 61099-2024 tillsynsbegäran mail.docx", "A 61099-2024")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46283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46283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46283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46283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46283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46283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46283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46283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46283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46283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46283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46283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46283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46283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46283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15890-2024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45405</v>
      </c>
      <c r="E45" s="1" t="n">
        <v>46283</v>
      </c>
      <c r="F45" t="inlineStr">
        <is>
          <t>VÄSTMANLANDS LÄN</t>
        </is>
      </c>
      <c r="G45" t="inlineStr">
        <is>
          <t>NORBERG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46283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46283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45474</v>
      </c>
      <c r="E48" s="1" t="n">
        <v>46283</v>
      </c>
      <c r="F48" t="inlineStr">
        <is>
          <t>VÄSTMANLANDS LÄN</t>
        </is>
      </c>
      <c r="G48" t="inlineStr">
        <is>
          <t>NORBERG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3587-2024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45320</v>
      </c>
      <c r="E49" s="1" t="n">
        <v>46283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36905-2023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45154</v>
      </c>
      <c r="E50" s="1" t="n">
        <v>46283</v>
      </c>
      <c r="F50" t="inlineStr">
        <is>
          <t>VÄSTMANLANDS LÄN</t>
        </is>
      </c>
      <c r="G50" t="inlineStr">
        <is>
          <t>NORBERG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46283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46283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25477-2023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46283</v>
      </c>
      <c r="F53" t="inlineStr">
        <is>
          <t>VÄSTMANLANDS LÄN</t>
        </is>
      </c>
      <c r="G53" t="inlineStr">
        <is>
          <t>NORBERG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20378-2023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45056</v>
      </c>
      <c r="E54" s="1" t="n">
        <v>46283</v>
      </c>
      <c r="F54" t="inlineStr">
        <is>
          <t>VÄSTMANLANDS LÄN</t>
        </is>
      </c>
      <c r="G54" t="inlineStr">
        <is>
          <t>NORBERG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46283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46283</v>
      </c>
      <c r="F56" t="inlineStr">
        <is>
          <t>VÄSTMANLANDS LÄN</t>
        </is>
      </c>
      <c r="G56" t="inlineStr">
        <is>
          <t>NORBERG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60339-2025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45994</v>
      </c>
      <c r="E57" s="1" t="n">
        <v>46283</v>
      </c>
      <c r="F57" t="inlineStr">
        <is>
          <t>VÄSTMANLANDS LÄN</t>
        </is>
      </c>
      <c r="G57" t="inlineStr">
        <is>
          <t>NORBERG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46283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37200-2023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46283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46283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7744-2023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46283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46283</v>
      </c>
      <c r="F62" t="inlineStr">
        <is>
          <t>VÄSTMANLANDS LÄN</t>
        </is>
      </c>
      <c r="G62" t="inlineStr">
        <is>
          <t>NORBERG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13471-2026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46283</v>
      </c>
      <c r="F63" t="inlineStr">
        <is>
          <t>VÄSTMANLANDS LÄN</t>
        </is>
      </c>
      <c r="G63" t="inlineStr">
        <is>
          <t>NORBERG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45613</v>
      </c>
      <c r="E64" s="1" t="n">
        <v>46283</v>
      </c>
      <c r="F64" t="inlineStr">
        <is>
          <t>VÄSTMANLANDS LÄN</t>
        </is>
      </c>
      <c r="G64" t="inlineStr">
        <is>
          <t>NORBERG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46283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45607</v>
      </c>
      <c r="E66" s="1" t="n">
        <v>46283</v>
      </c>
      <c r="F66" t="inlineStr">
        <is>
          <t>VÄSTMANLANDS LÄN</t>
        </is>
      </c>
      <c r="G66" t="inlineStr">
        <is>
          <t>NORBERG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45363</v>
      </c>
      <c r="E67" s="1" t="n">
        <v>46283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46105</v>
      </c>
      <c r="E68" s="1" t="n">
        <v>46283</v>
      </c>
      <c r="F68" t="inlineStr">
        <is>
          <t>VÄSTMANLANDS LÄN</t>
        </is>
      </c>
      <c r="G68" t="inlineStr">
        <is>
          <t>NORBERG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15263-2026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46283</v>
      </c>
      <c r="F69" t="inlineStr">
        <is>
          <t>VÄSTMANLANDS LÄN</t>
        </is>
      </c>
      <c r="G69" t="inlineStr">
        <is>
          <t>NORBERG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46105</v>
      </c>
      <c r="E70" s="1" t="n">
        <v>46283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46108</v>
      </c>
      <c r="E71" s="1" t="n">
        <v>46283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46283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46113</v>
      </c>
      <c r="E73" s="1" t="n">
        <v>46283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46283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17318-2026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46283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46283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15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46283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46283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46283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45705</v>
      </c>
      <c r="E80" s="1" t="n">
        <v>46283</v>
      </c>
      <c r="F80" t="inlineStr">
        <is>
          <t>VÄSTMANLANDS LÄN</t>
        </is>
      </c>
      <c r="G80" t="inlineStr">
        <is>
          <t>NORBERG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73797-2021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46283</v>
      </c>
      <c r="F81" t="inlineStr">
        <is>
          <t>VÄSTMANLANDS LÄN</t>
        </is>
      </c>
      <c r="G81" t="inlineStr">
        <is>
          <t>NORBERG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46283</v>
      </c>
      <c r="F82" t="inlineStr">
        <is>
          <t>VÄSTMANLANDS LÄN</t>
        </is>
      </c>
      <c r="G82" t="inlineStr">
        <is>
          <t>NORBERG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46283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56940-2021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44480</v>
      </c>
      <c r="E84" s="1" t="n">
        <v>46283</v>
      </c>
      <c r="F84" t="inlineStr">
        <is>
          <t>VÄSTMANLANDS LÄN</t>
        </is>
      </c>
      <c r="G84" t="inlineStr">
        <is>
          <t>NORBERG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46283</v>
      </c>
      <c r="F85" t="inlineStr">
        <is>
          <t>VÄSTMANLANDS LÄN</t>
        </is>
      </c>
      <c r="G85" t="inlineStr">
        <is>
          <t>NORBERG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45200</v>
      </c>
      <c r="E86" s="1" t="n">
        <v>46283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46283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46283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45598</v>
      </c>
      <c r="E89" s="1" t="n">
        <v>46283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46283</v>
      </c>
      <c r="F90" t="inlineStr">
        <is>
          <t>VÄSTMANLANDS LÄN</t>
        </is>
      </c>
      <c r="G90" t="inlineStr">
        <is>
          <t>NORBERG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20968-2026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46142</v>
      </c>
      <c r="E91" s="1" t="n">
        <v>46283</v>
      </c>
      <c r="F91" t="inlineStr">
        <is>
          <t>VÄSTMANLANDS LÄN</t>
        </is>
      </c>
      <c r="G91" t="inlineStr">
        <is>
          <t>NORBERG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21218-2026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46146</v>
      </c>
      <c r="E92" s="1" t="n">
        <v>46283</v>
      </c>
      <c r="F92" t="inlineStr">
        <is>
          <t>VÄSTMANLANDS LÄN</t>
        </is>
      </c>
      <c r="G92" t="inlineStr">
        <is>
          <t>NORBERG</t>
        </is>
      </c>
      <c r="H92" t="inlineStr">
        <is>
          <t>Bergvik skog väst AB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46148</v>
      </c>
      <c r="E93" s="1" t="n">
        <v>46283</v>
      </c>
      <c r="F93" t="inlineStr">
        <is>
          <t>VÄSTMANLANDS LÄN</t>
        </is>
      </c>
      <c r="G93" t="inlineStr">
        <is>
          <t>NORBERG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46283</v>
      </c>
      <c r="F94" t="inlineStr">
        <is>
          <t>VÄSTMANLANDS LÄN</t>
        </is>
      </c>
      <c r="G94" t="inlineStr">
        <is>
          <t>NORBERG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21504-2026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46148</v>
      </c>
      <c r="E95" s="1" t="n">
        <v>46283</v>
      </c>
      <c r="F95" t="inlineStr">
        <is>
          <t>VÄSTMANLANDS LÄN</t>
        </is>
      </c>
      <c r="G95" t="inlineStr">
        <is>
          <t>NORBERG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46283</v>
      </c>
      <c r="F96" t="inlineStr">
        <is>
          <t>VÄSTMANLANDS LÄN</t>
        </is>
      </c>
      <c r="G96" t="inlineStr">
        <is>
          <t>NORBERG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45537</v>
      </c>
      <c r="E97" s="1" t="n">
        <v>46283</v>
      </c>
      <c r="F97" t="inlineStr">
        <is>
          <t>VÄSTMANLANDS LÄN</t>
        </is>
      </c>
      <c r="G97" t="inlineStr">
        <is>
          <t>NORBERG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46283</v>
      </c>
      <c r="F98" t="inlineStr">
        <is>
          <t>VÄSTMANLANDS LÄN</t>
        </is>
      </c>
      <c r="G98" t="inlineStr">
        <is>
          <t>NORBERG</t>
        </is>
      </c>
      <c r="H98" t="inlineStr">
        <is>
          <t>Bergvik skog väst AB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21983-2026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46283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44852</v>
      </c>
      <c r="E100" s="1" t="n">
        <v>46283</v>
      </c>
      <c r="F100" t="inlineStr">
        <is>
          <t>VÄSTMANLANDS LÄN</t>
        </is>
      </c>
      <c r="G100" t="inlineStr">
        <is>
          <t>NORBERG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46283</v>
      </c>
      <c r="F101" t="inlineStr">
        <is>
          <t>VÄSTMANLANDS LÄN</t>
        </is>
      </c>
      <c r="G101" t="inlineStr">
        <is>
          <t>NORBERG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46283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46283</v>
      </c>
      <c r="F103" t="inlineStr">
        <is>
          <t>VÄSTMANLANDS LÄN</t>
        </is>
      </c>
      <c r="G103" t="inlineStr">
        <is>
          <t>NORBERG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46283</v>
      </c>
      <c r="F104" t="inlineStr">
        <is>
          <t>VÄSTMANLANDS LÄN</t>
        </is>
      </c>
      <c r="G104" t="inlineStr">
        <is>
          <t>NORBERG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56400-2025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45974</v>
      </c>
      <c r="E105" s="1" t="n">
        <v>46283</v>
      </c>
      <c r="F105" t="inlineStr">
        <is>
          <t>VÄSTMANLANDS LÄN</t>
        </is>
      </c>
      <c r="G105" t="inlineStr">
        <is>
          <t>NORBERG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46283</v>
      </c>
      <c r="F106" t="inlineStr">
        <is>
          <t>VÄSTMANLANDS LÄN</t>
        </is>
      </c>
      <c r="G106" t="inlineStr">
        <is>
          <t>NORBERG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46283</v>
      </c>
      <c r="F107" t="inlineStr">
        <is>
          <t>VÄSTMANLANDS LÄN</t>
        </is>
      </c>
      <c r="G107" t="inlineStr">
        <is>
          <t>NORBERG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45588</v>
      </c>
      <c r="E108" s="1" t="n">
        <v>46283</v>
      </c>
      <c r="F108" t="inlineStr">
        <is>
          <t>VÄSTMANLANDS LÄN</t>
        </is>
      </c>
      <c r="G108" t="inlineStr">
        <is>
          <t>NORBERG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46283</v>
      </c>
      <c r="F109" t="inlineStr">
        <is>
          <t>VÄSTMANLANDS LÄN</t>
        </is>
      </c>
      <c r="G109" t="inlineStr">
        <is>
          <t>NORBERG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25331-2026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46283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46283</v>
      </c>
      <c r="F111" t="inlineStr">
        <is>
          <t>VÄSTMANLANDS LÄN</t>
        </is>
      </c>
      <c r="G111" t="inlineStr">
        <is>
          <t>NORBERG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46283</v>
      </c>
      <c r="F112" t="inlineStr">
        <is>
          <t>VÄSTMANLANDS LÄN</t>
        </is>
      </c>
      <c r="G112" t="inlineStr">
        <is>
          <t>NORBERG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46189</v>
      </c>
      <c r="E113" s="1" t="n">
        <v>46283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13.7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46283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46189</v>
      </c>
      <c r="E115" s="1" t="n">
        <v>46283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46283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46283</v>
      </c>
      <c r="F117" t="inlineStr">
        <is>
          <t>VÄSTMANLANDS LÄN</t>
        </is>
      </c>
      <c r="G117" t="inlineStr">
        <is>
          <t>NORBERG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46283</v>
      </c>
      <c r="F118" t="inlineStr">
        <is>
          <t>VÄSTMANLANDS LÄN</t>
        </is>
      </c>
      <c r="G118" t="inlineStr">
        <is>
          <t>NORBERG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46283</v>
      </c>
      <c r="F119" t="inlineStr">
        <is>
          <t>VÄSTMANLANDS LÄN</t>
        </is>
      </c>
      <c r="G119" t="inlineStr">
        <is>
          <t>NORBERG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45440</v>
      </c>
      <c r="E120" s="1" t="n">
        <v>46283</v>
      </c>
      <c r="F120" t="inlineStr">
        <is>
          <t>VÄSTMANLANDS LÄN</t>
        </is>
      </c>
      <c r="G120" t="inlineStr">
        <is>
          <t>NORBERG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46283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46283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46283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46283</v>
      </c>
      <c r="F124" t="inlineStr">
        <is>
          <t>VÄSTMANLANDS LÄN</t>
        </is>
      </c>
      <c r="G124" t="inlineStr">
        <is>
          <t>NORBERG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46283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46283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46283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46283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46283</v>
      </c>
      <c r="F129" t="inlineStr">
        <is>
          <t>VÄSTMANLANDS LÄN</t>
        </is>
      </c>
      <c r="G129" t="inlineStr">
        <is>
          <t>NORBERG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46283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46283</v>
      </c>
      <c r="F131" t="inlineStr">
        <is>
          <t>VÄSTMANLANDS LÄN</t>
        </is>
      </c>
      <c r="G131" t="inlineStr">
        <is>
          <t>NORBERG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46283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45964</v>
      </c>
      <c r="E133" s="1" t="n">
        <v>46283</v>
      </c>
      <c r="F133" t="inlineStr">
        <is>
          <t>VÄSTMANLANDS LÄN</t>
        </is>
      </c>
      <c r="G133" t="inlineStr">
        <is>
          <t>NORBERG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46258</v>
      </c>
      <c r="E134" s="1" t="n">
        <v>46283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46283</v>
      </c>
      <c r="F135" t="inlineStr">
        <is>
          <t>VÄSTMANLANDS LÄN</t>
        </is>
      </c>
      <c r="G135" t="inlineStr">
        <is>
          <t>NORBERG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46283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46283</v>
      </c>
      <c r="F137" t="inlineStr">
        <is>
          <t>VÄSTMANLANDS LÄN</t>
        </is>
      </c>
      <c r="G137" t="inlineStr">
        <is>
          <t>NORBERG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46283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46265</v>
      </c>
      <c r="E139" s="1" t="n">
        <v>46283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46223</v>
      </c>
      <c r="E140" s="1" t="n">
        <v>46283</v>
      </c>
      <c r="F140" t="inlineStr">
        <is>
          <t>VÄSTMANLANDS LÄN</t>
        </is>
      </c>
      <c r="G140" t="inlineStr">
        <is>
          <t>NORBERG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46265</v>
      </c>
      <c r="E141" s="1" t="n">
        <v>46283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46283</v>
      </c>
      <c r="F142" t="inlineStr">
        <is>
          <t>VÄSTMANLANDS LÄN</t>
        </is>
      </c>
      <c r="G142" t="inlineStr">
        <is>
          <t>NORBERG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46268</v>
      </c>
      <c r="E143" s="1" t="n">
        <v>46283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46268</v>
      </c>
      <c r="E144" s="1" t="n">
        <v>46283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46283</v>
      </c>
      <c r="F145" t="inlineStr">
        <is>
          <t>VÄSTMANLANDS LÄN</t>
        </is>
      </c>
      <c r="G145" t="inlineStr">
        <is>
          <t>NORBERG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46283</v>
      </c>
      <c r="F146" t="inlineStr">
        <is>
          <t>VÄSTMANLANDS LÄN</t>
        </is>
      </c>
      <c r="G146" t="inlineStr">
        <is>
          <t>NORBERG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63505-2023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45274</v>
      </c>
      <c r="E147" s="1" t="n">
        <v>46283</v>
      </c>
      <c r="F147" t="inlineStr">
        <is>
          <t>VÄSTMANLANDS LÄN</t>
        </is>
      </c>
      <c r="G147" t="inlineStr">
        <is>
          <t>NORBERG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46014</v>
      </c>
      <c r="E148" s="1" t="n">
        <v>46283</v>
      </c>
      <c r="F148" t="inlineStr">
        <is>
          <t>VÄSTMANLANDS LÄN</t>
        </is>
      </c>
      <c r="G148" t="inlineStr">
        <is>
          <t>NORBERG</t>
        </is>
      </c>
      <c r="I148" t="n">
        <v>22.8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46014</v>
      </c>
      <c r="E149" s="1" t="n">
        <v>46283</v>
      </c>
      <c r="F149" t="inlineStr">
        <is>
          <t>VÄSTMANLANDS LÄN</t>
        </is>
      </c>
      <c r="G149" t="inlineStr">
        <is>
          <t>NORBERG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46283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46283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34232-2026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46253</v>
      </c>
      <c r="E152" s="1" t="n">
        <v>46283</v>
      </c>
      <c r="F152" t="inlineStr">
        <is>
          <t>VÄSTMANLANDS LÄN</t>
        </is>
      </c>
      <c r="G152" t="inlineStr">
        <is>
          <t>NORBERG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46283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46283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46283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46266</v>
      </c>
      <c r="E156" s="1" t="n">
        <v>46283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46232</v>
      </c>
      <c r="E157" s="1" t="n">
        <v>46283</v>
      </c>
      <c r="F157" t="inlineStr">
        <is>
          <t>VÄSTMANLANDS LÄN</t>
        </is>
      </c>
      <c r="G157" t="inlineStr">
        <is>
          <t>NORBERG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46283</v>
      </c>
      <c r="F158" t="inlineStr">
        <is>
          <t>VÄSTMANLANDS LÄN</t>
        </is>
      </c>
      <c r="G158" t="inlineStr">
        <is>
          <t>NORBERG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45001</v>
      </c>
      <c r="E159" s="1" t="n">
        <v>46283</v>
      </c>
      <c r="F159" t="inlineStr">
        <is>
          <t>VÄSTMANLANDS LÄN</t>
        </is>
      </c>
      <c r="G159" t="inlineStr">
        <is>
          <t>NORBERG</t>
        </is>
      </c>
      <c r="I159" t="n">
        <v>22.4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46233</v>
      </c>
      <c r="E160" s="1" t="n">
        <v>46283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46283</v>
      </c>
      <c r="F161" t="inlineStr">
        <is>
          <t>VÄSTMANLANDS LÄN</t>
        </is>
      </c>
      <c r="G161" t="inlineStr">
        <is>
          <t>NORBERG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46283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46283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46283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46283</v>
      </c>
      <c r="F165" t="inlineStr">
        <is>
          <t>VÄSTMANLANDS LÄN</t>
        </is>
      </c>
      <c r="G165" t="inlineStr">
        <is>
          <t>NORBERG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45056</v>
      </c>
      <c r="E166" s="1" t="n">
        <v>46283</v>
      </c>
      <c r="F166" t="inlineStr">
        <is>
          <t>VÄSTMANLANDS LÄN</t>
        </is>
      </c>
      <c r="G166" t="inlineStr">
        <is>
          <t>NORBERG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46283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45454</v>
      </c>
      <c r="E168" s="1" t="n">
        <v>46283</v>
      </c>
      <c r="F168" t="inlineStr">
        <is>
          <t>VÄSTMANLANDS LÄN</t>
        </is>
      </c>
      <c r="G168" t="inlineStr">
        <is>
          <t>NORBERG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46283</v>
      </c>
      <c r="F169" t="inlineStr">
        <is>
          <t>VÄSTMANLANDS LÄN</t>
        </is>
      </c>
      <c r="G169" t="inlineStr">
        <is>
          <t>NORBERG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46283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46283</v>
      </c>
      <c r="F171" t="inlineStr">
        <is>
          <t>VÄSTMANLANDS LÄN</t>
        </is>
      </c>
      <c r="G171" t="inlineStr">
        <is>
          <t>NORBERG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45179</v>
      </c>
      <c r="E172" s="1" t="n">
        <v>46283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51790-2024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45607</v>
      </c>
      <c r="E173" s="1" t="n">
        <v>46283</v>
      </c>
      <c r="F173" t="inlineStr">
        <is>
          <t>VÄSTMANLANDS LÄN</t>
        </is>
      </c>
      <c r="G173" t="inlineStr">
        <is>
          <t>NORBERG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19377-2025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45769</v>
      </c>
      <c r="E174" s="1" t="n">
        <v>46283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45316</v>
      </c>
      <c r="E175" s="1" t="n">
        <v>46283</v>
      </c>
      <c r="F175" t="inlineStr">
        <is>
          <t>VÄSTMANLANDS LÄN</t>
        </is>
      </c>
      <c r="G175" t="inlineStr">
        <is>
          <t>NORBERG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46283</v>
      </c>
      <c r="F176" t="inlineStr">
        <is>
          <t>VÄSTMANLANDS LÄN</t>
        </is>
      </c>
      <c r="G176" t="inlineStr">
        <is>
          <t>NORBERG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46283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44691</v>
      </c>
      <c r="E178" s="1" t="n">
        <v>46283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45729</v>
      </c>
      <c r="E179" s="1" t="n">
        <v>46283</v>
      </c>
      <c r="F179" t="inlineStr">
        <is>
          <t>VÄSTMANLANDS LÄN</t>
        </is>
      </c>
      <c r="G179" t="inlineStr">
        <is>
          <t>NORBERG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46283</v>
      </c>
      <c r="F180" t="inlineStr">
        <is>
          <t>VÄSTMANLANDS LÄN</t>
        </is>
      </c>
      <c r="G180" t="inlineStr">
        <is>
          <t>NORBERG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46283</v>
      </c>
      <c r="F181" t="inlineStr">
        <is>
          <t>VÄSTMANLANDS LÄN</t>
        </is>
      </c>
      <c r="G181" t="inlineStr">
        <is>
          <t>NORBERG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46283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46283</v>
      </c>
      <c r="F183" t="inlineStr">
        <is>
          <t>VÄSTMANLANDS LÄN</t>
        </is>
      </c>
      <c r="G183" t="inlineStr">
        <is>
          <t>NORBERG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46283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46283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46283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46283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46283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46283</v>
      </c>
      <c r="F189" t="inlineStr">
        <is>
          <t>VÄSTMANLANDS LÄN</t>
        </is>
      </c>
      <c r="G189" t="inlineStr">
        <is>
          <t>NORBERG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46283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46283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46283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46283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2026-09-18T02:02:30Z</dcterms:created>
  <dcterms:modified xmlns:dcterms="http://purl.org/dc/terms/" xmlns:xsi="http://www.w3.org/2001/XMLSchema-instance" xsi:type="dcterms:W3CDTF">2026-09-18T02:02:30Z</dcterms:modified>
</cp:coreProperties>
</file>