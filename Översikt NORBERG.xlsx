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39253-2024</t>
        </is>
      </c>
      <c r="B2" s="1" t="n">
        <v>45551</v>
      </c>
      <c r="C2" s="1" t="n">
        <v>46183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3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Knärot
Kandelabersvamp
Kådvaxskinn
Ullticka</t>
        </is>
      </c>
      <c r="S2">
        <f>HYPERLINK("https://klasma.github.io/Logging_1962/artfynd/A 39253-2024 artfynd.xlsx", "A 39253-2024")</f>
        <v/>
      </c>
      <c r="T2">
        <f>HYPERLINK("https://klasma.github.io/Logging_1962/kartor/A 39253-2024 karta.png", "A 39253-2024")</f>
        <v/>
      </c>
      <c r="U2">
        <f>HYPERLINK("https://klasma.github.io/Logging_1962/knärot/A 39253-2024 karta knärot.png", "A 39253-2024")</f>
        <v/>
      </c>
      <c r="V2">
        <f>HYPERLINK("https://klasma.github.io/Logging_1962/klagomål/A 39253-2024 FSC-klagomål.docx", "A 39253-2024")</f>
        <v/>
      </c>
      <c r="W2">
        <f>HYPERLINK("https://klasma.github.io/Logging_1962/klagomålsmail/A 39253-2024 FSC-klagomål mail.docx", "A 39253-2024")</f>
        <v/>
      </c>
      <c r="X2">
        <f>HYPERLINK("https://klasma.github.io/Logging_1962/tillsyn/A 39253-2024 tillsynsbegäran.docx", "A 39253-2024")</f>
        <v/>
      </c>
      <c r="Y2">
        <f>HYPERLINK("https://klasma.github.io/Logging_1962/tillsynsmail/A 39253-2024 tillsynsbegäran mail.docx", "A 39253-2024")</f>
        <v/>
      </c>
    </row>
    <row r="3" ht="15" customHeight="1">
      <c r="A3" t="inlineStr">
        <is>
          <t>A 13834-2025</t>
        </is>
      </c>
      <c r="B3" s="1" t="n">
        <v>45737</v>
      </c>
      <c r="C3" s="1" t="n">
        <v>46183</v>
      </c>
      <c r="D3" t="inlineStr">
        <is>
          <t>VÄSTMANLANDS LÄN</t>
        </is>
      </c>
      <c r="E3" t="inlineStr">
        <is>
          <t>NORBERG</t>
        </is>
      </c>
      <c r="F3" t="inlineStr">
        <is>
          <t>Sveaskog</t>
        </is>
      </c>
      <c r="G3" t="n">
        <v>4.7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Slåtterfibbla
Blåsippa
Lopplummer (aggregat)</t>
        </is>
      </c>
      <c r="S3">
        <f>HYPERLINK("https://klasma.github.io/Logging_1962/artfynd/A 13834-2025 artfynd.xlsx", "A 13834-2025")</f>
        <v/>
      </c>
      <c r="T3">
        <f>HYPERLINK("https://klasma.github.io/Logging_1962/kartor/A 13834-2025 karta.png", "A 13834-2025")</f>
        <v/>
      </c>
      <c r="V3">
        <f>HYPERLINK("https://klasma.github.io/Logging_1962/klagomål/A 13834-2025 FSC-klagomål.docx", "A 13834-2025")</f>
        <v/>
      </c>
      <c r="W3">
        <f>HYPERLINK("https://klasma.github.io/Logging_1962/klagomålsmail/A 13834-2025 FSC-klagomål mail.docx", "A 13834-2025")</f>
        <v/>
      </c>
      <c r="X3">
        <f>HYPERLINK("https://klasma.github.io/Logging_1962/tillsyn/A 13834-2025 tillsynsbegäran.docx", "A 13834-2025")</f>
        <v/>
      </c>
      <c r="Y3">
        <f>HYPERLINK("https://klasma.github.io/Logging_1962/tillsynsmail/A 13834-2025 tillsynsbegäran mail.docx", "A 13834-2025")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46183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33377-2023</t>
        </is>
      </c>
      <c r="B5" s="1" t="n">
        <v>45128</v>
      </c>
      <c r="C5" s="1" t="n">
        <v>46183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Dofttaggsvamp
Gul taggsvamp</t>
        </is>
      </c>
      <c r="S5">
        <f>HYPERLINK("https://klasma.github.io/Logging_1962/artfynd/A 33377-2023 artfynd.xlsx", "A 33377-2023")</f>
        <v/>
      </c>
      <c r="T5">
        <f>HYPERLINK("https://klasma.github.io/Logging_1962/kartor/A 33377-2023 karta.png", "A 33377-2023")</f>
        <v/>
      </c>
      <c r="V5">
        <f>HYPERLINK("https://klasma.github.io/Logging_1962/klagomål/A 33377-2023 FSC-klagomål.docx", "A 33377-2023")</f>
        <v/>
      </c>
      <c r="W5">
        <f>HYPERLINK("https://klasma.github.io/Logging_1962/klagomålsmail/A 33377-2023 FSC-klagomål mail.docx", "A 33377-2023")</f>
        <v/>
      </c>
      <c r="X5">
        <f>HYPERLINK("https://klasma.github.io/Logging_1962/tillsyn/A 33377-2023 tillsynsbegäran.docx", "A 33377-2023")</f>
        <v/>
      </c>
      <c r="Y5">
        <f>HYPERLINK("https://klasma.github.io/Logging_1962/tillsynsmail/A 33377-2023 tillsynsbegäran mail.docx", "A 33377-2023")</f>
        <v/>
      </c>
    </row>
    <row r="6" ht="15" customHeight="1">
      <c r="A6" t="inlineStr">
        <is>
          <t>A 15262-2026</t>
        </is>
      </c>
      <c r="B6" s="1" t="n">
        <v>46105</v>
      </c>
      <c r="C6" s="1" t="n">
        <v>46183</v>
      </c>
      <c r="D6" t="inlineStr">
        <is>
          <t>VÄSTMANLANDS LÄN</t>
        </is>
      </c>
      <c r="E6" t="inlineStr">
        <is>
          <t>NORBERG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Brunklöver
Tvåblad</t>
        </is>
      </c>
      <c r="S6">
        <f>HYPERLINK("https://klasma.github.io/Logging_1962/artfynd/A 15262-2026 artfynd.xlsx", "A 15262-2026")</f>
        <v/>
      </c>
      <c r="T6">
        <f>HYPERLINK("https://klasma.github.io/Logging_1962/kartor/A 15262-2026 karta.png", "A 15262-2026")</f>
        <v/>
      </c>
      <c r="V6">
        <f>HYPERLINK("https://klasma.github.io/Logging_1962/klagomål/A 15262-2026 FSC-klagomål.docx", "A 15262-2026")</f>
        <v/>
      </c>
      <c r="W6">
        <f>HYPERLINK("https://klasma.github.io/Logging_1962/klagomålsmail/A 15262-2026 FSC-klagomål mail.docx", "A 15262-2026")</f>
        <v/>
      </c>
      <c r="X6">
        <f>HYPERLINK("https://klasma.github.io/Logging_1962/tillsyn/A 15262-2026 tillsynsbegäran.docx", "A 15262-2026")</f>
        <v/>
      </c>
      <c r="Y6">
        <f>HYPERLINK("https://klasma.github.io/Logging_1962/tillsynsmail/A 15262-2026 tillsynsbegäran mail.docx", "A 15262-2026")</f>
        <v/>
      </c>
    </row>
    <row r="7" ht="15" customHeight="1">
      <c r="A7" t="inlineStr">
        <is>
          <t>A 9872-2022</t>
        </is>
      </c>
      <c r="B7" s="1" t="n">
        <v>44620.57465277778</v>
      </c>
      <c r="C7" s="1" t="n">
        <v>46183</v>
      </c>
      <c r="D7" t="inlineStr">
        <is>
          <t>VÄSTMANLANDS LÄN</t>
        </is>
      </c>
      <c r="E7" t="inlineStr">
        <is>
          <t>NORBERG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HYPERLINK("https://klasma.github.io/Logging_1962/artfynd/A 9872-2022 artfynd.xlsx", "A 9872-2022")</f>
        <v/>
      </c>
      <c r="T7">
        <f>HYPERLINK("https://klasma.github.io/Logging_1962/kartor/A 9872-2022 karta.png", "A 9872-2022")</f>
        <v/>
      </c>
      <c r="V7">
        <f>HYPERLINK("https://klasma.github.io/Logging_1962/klagomål/A 9872-2022 FSC-klagomål.docx", "A 9872-2022")</f>
        <v/>
      </c>
      <c r="W7">
        <f>HYPERLINK("https://klasma.github.io/Logging_1962/klagomålsmail/A 9872-2022 FSC-klagomål mail.docx", "A 9872-2022")</f>
        <v/>
      </c>
      <c r="X7">
        <f>HYPERLINK("https://klasma.github.io/Logging_1962/tillsyn/A 9872-2022 tillsynsbegäran.docx", "A 9872-2022")</f>
        <v/>
      </c>
      <c r="Y7">
        <f>HYPERLINK("https://klasma.github.io/Logging_1962/tillsynsmail/A 9872-2022 tillsynsbegäran mail.docx", "A 9872-2022")</f>
        <v/>
      </c>
    </row>
    <row r="8" ht="15" customHeight="1">
      <c r="A8" t="inlineStr">
        <is>
          <t>A 20257-2025</t>
        </is>
      </c>
      <c r="B8" s="1" t="n">
        <v>45773.34196759259</v>
      </c>
      <c r="C8" s="1" t="n">
        <v>46183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HYPERLINK("https://klasma.github.io/Logging_1962/artfynd/A 20257-2025 artfynd.xlsx", "A 20257-2025")</f>
        <v/>
      </c>
      <c r="T8">
        <f>HYPERLINK("https://klasma.github.io/Logging_1962/kartor/A 20257-2025 karta.png", "A 20257-2025")</f>
        <v/>
      </c>
      <c r="V8">
        <f>HYPERLINK("https://klasma.github.io/Logging_1962/klagomål/A 20257-2025 FSC-klagomål.docx", "A 20257-2025")</f>
        <v/>
      </c>
      <c r="W8">
        <f>HYPERLINK("https://klasma.github.io/Logging_1962/klagomålsmail/A 20257-2025 FSC-klagomål mail.docx", "A 20257-2025")</f>
        <v/>
      </c>
      <c r="X8">
        <f>HYPERLINK("https://klasma.github.io/Logging_1962/tillsyn/A 20257-2025 tillsynsbegäran.docx", "A 20257-2025")</f>
        <v/>
      </c>
      <c r="Y8">
        <f>HYPERLINK("https://klasma.github.io/Logging_1962/tillsynsmail/A 20257-2025 tillsynsbegäran mail.docx", "A 20257-2025")</f>
        <v/>
      </c>
    </row>
    <row r="9" ht="15" customHeight="1">
      <c r="A9" t="inlineStr">
        <is>
          <t>A 55711-2024</t>
        </is>
      </c>
      <c r="B9" s="1" t="n">
        <v>45622.69902777778</v>
      </c>
      <c r="C9" s="1" t="n">
        <v>46183</v>
      </c>
      <c r="D9" t="inlineStr">
        <is>
          <t>VÄSTMANLANDS LÄN</t>
        </is>
      </c>
      <c r="E9" t="inlineStr">
        <is>
          <t>NORBERG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HYPERLINK("https://klasma.github.io/Logging_1962/artfynd/A 55711-2024 artfynd.xlsx", "A 55711-2024")</f>
        <v/>
      </c>
      <c r="T9">
        <f>HYPERLINK("https://klasma.github.io/Logging_1962/kartor/A 55711-2024 karta.png", "A 55711-2024")</f>
        <v/>
      </c>
      <c r="V9">
        <f>HYPERLINK("https://klasma.github.io/Logging_1962/klagomål/A 55711-2024 FSC-klagomål.docx", "A 55711-2024")</f>
        <v/>
      </c>
      <c r="W9">
        <f>HYPERLINK("https://klasma.github.io/Logging_1962/klagomålsmail/A 55711-2024 FSC-klagomål mail.docx", "A 55711-2024")</f>
        <v/>
      </c>
      <c r="X9">
        <f>HYPERLINK("https://klasma.github.io/Logging_1962/tillsyn/A 55711-2024 tillsynsbegäran.docx", "A 55711-2024")</f>
        <v/>
      </c>
      <c r="Y9">
        <f>HYPERLINK("https://klasma.github.io/Logging_1962/tillsynsmail/A 55711-2024 tillsynsbegäran mail.docx", "A 55711-2024")</f>
        <v/>
      </c>
    </row>
    <row r="10" ht="15" customHeight="1">
      <c r="A10" t="inlineStr">
        <is>
          <t>A 15107-2025</t>
        </is>
      </c>
      <c r="B10" s="1" t="n">
        <v>45744.34909722222</v>
      </c>
      <c r="C10" s="1" t="n">
        <v>46183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HYPERLINK("https://klasma.github.io/Logging_1962/artfynd/A 15107-2025 artfynd.xlsx", "A 15107-2025")</f>
        <v/>
      </c>
      <c r="T10">
        <f>HYPERLINK("https://klasma.github.io/Logging_1962/kartor/A 15107-2025 karta.png", "A 15107-2025")</f>
        <v/>
      </c>
      <c r="V10">
        <f>HYPERLINK("https://klasma.github.io/Logging_1962/klagomål/A 15107-2025 FSC-klagomål.docx", "A 15107-2025")</f>
        <v/>
      </c>
      <c r="W10">
        <f>HYPERLINK("https://klasma.github.io/Logging_1962/klagomålsmail/A 15107-2025 FSC-klagomål mail.docx", "A 15107-2025")</f>
        <v/>
      </c>
      <c r="X10">
        <f>HYPERLINK("https://klasma.github.io/Logging_1962/tillsyn/A 15107-2025 tillsynsbegäran.docx", "A 15107-2025")</f>
        <v/>
      </c>
      <c r="Y10">
        <f>HYPERLINK("https://klasma.github.io/Logging_1962/tillsynsmail/A 15107-2025 tillsynsbegäran mail.docx", "A 15107-2025")</f>
        <v/>
      </c>
    </row>
    <row r="11" ht="15" customHeight="1">
      <c r="A11" t="inlineStr">
        <is>
          <t>A 18464-2025</t>
        </is>
      </c>
      <c r="B11" s="1" t="n">
        <v>45762.70241898148</v>
      </c>
      <c r="C11" s="1" t="n">
        <v>46183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HYPERLINK("https://klasma.github.io/Logging_1962/artfynd/A 18464-2025 artfynd.xlsx", "A 18464-2025")</f>
        <v/>
      </c>
      <c r="T11">
        <f>HYPERLINK("https://klasma.github.io/Logging_1962/kartor/A 18464-2025 karta.png", "A 18464-2025")</f>
        <v/>
      </c>
      <c r="V11">
        <f>HYPERLINK("https://klasma.github.io/Logging_1962/klagomål/A 18464-2025 FSC-klagomål.docx", "A 18464-2025")</f>
        <v/>
      </c>
      <c r="W11">
        <f>HYPERLINK("https://klasma.github.io/Logging_1962/klagomålsmail/A 18464-2025 FSC-klagomål mail.docx", "A 18464-2025")</f>
        <v/>
      </c>
      <c r="X11">
        <f>HYPERLINK("https://klasma.github.io/Logging_1962/tillsyn/A 18464-2025 tillsynsbegäran.docx", "A 18464-2025")</f>
        <v/>
      </c>
      <c r="Y11">
        <f>HYPERLINK("https://klasma.github.io/Logging_1962/tillsynsmail/A 18464-2025 tillsynsbegäran mail.docx", "A 18464-2025")</f>
        <v/>
      </c>
    </row>
    <row r="12" ht="15" customHeight="1">
      <c r="A12" t="inlineStr">
        <is>
          <t>A 61099-2024</t>
        </is>
      </c>
      <c r="B12" s="1" t="n">
        <v>45644</v>
      </c>
      <c r="C12" s="1" t="n">
        <v>46183</v>
      </c>
      <c r="D12" t="inlineStr">
        <is>
          <t>VÄSTMANLANDS LÄN</t>
        </is>
      </c>
      <c r="E12" t="inlineStr">
        <is>
          <t>NORBERG</t>
        </is>
      </c>
      <c r="G12" t="n">
        <v>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61099-2024 artfynd.xlsx", "A 61099-2024")</f>
        <v/>
      </c>
      <c r="T12">
        <f>HYPERLINK("https://klasma.github.io/Logging_1962/kartor/A 61099-2024 karta.png", "A 61099-2024")</f>
        <v/>
      </c>
      <c r="V12">
        <f>HYPERLINK("https://klasma.github.io/Logging_1962/klagomål/A 61099-2024 FSC-klagomål.docx", "A 61099-2024")</f>
        <v/>
      </c>
      <c r="W12">
        <f>HYPERLINK("https://klasma.github.io/Logging_1962/klagomålsmail/A 61099-2024 FSC-klagomål mail.docx", "A 61099-2024")</f>
        <v/>
      </c>
      <c r="X12">
        <f>HYPERLINK("https://klasma.github.io/Logging_1962/tillsyn/A 61099-2024 tillsynsbegäran.docx", "A 61099-2024")</f>
        <v/>
      </c>
      <c r="Y12">
        <f>HYPERLINK("https://klasma.github.io/Logging_1962/tillsynsmail/A 61099-2024 tillsynsbegäran mail.docx", "A 61099-2024")</f>
        <v/>
      </c>
    </row>
    <row r="13" ht="15" customHeight="1">
      <c r="A13" t="inlineStr">
        <is>
          <t>A 45929-2021</t>
        </is>
      </c>
      <c r="B13" s="1" t="n">
        <v>44441</v>
      </c>
      <c r="C13" s="1" t="n">
        <v>46183</v>
      </c>
      <c r="D13" t="inlineStr">
        <is>
          <t>VÄSTMANLANDS LÄN</t>
        </is>
      </c>
      <c r="E13" t="inlineStr">
        <is>
          <t>NORBERG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49143-2022</t>
        </is>
      </c>
      <c r="B14" s="1" t="n">
        <v>44860.75229166666</v>
      </c>
      <c r="C14" s="1" t="n">
        <v>46183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51415-2022</t>
        </is>
      </c>
      <c r="B15" s="1" t="n">
        <v>44869.454375</v>
      </c>
      <c r="C15" s="1" t="n">
        <v>46183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8.300000000000001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49163-2022</t>
        </is>
      </c>
      <c r="B16" s="1" t="n">
        <v>44860.90282407407</v>
      </c>
      <c r="C16" s="1" t="n">
        <v>46183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44016-2022</t>
        </is>
      </c>
      <c r="B17" s="1" t="n">
        <v>44838.80505787037</v>
      </c>
      <c r="C17" s="1" t="n">
        <v>46183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52076-2022</t>
        </is>
      </c>
      <c r="B18" s="1" t="n">
        <v>44873</v>
      </c>
      <c r="C18" s="1" t="n">
        <v>46183</v>
      </c>
      <c r="D18" t="inlineStr">
        <is>
          <t>VÄSTMANLANDS LÄN</t>
        </is>
      </c>
      <c r="E18" t="inlineStr">
        <is>
          <t>NORBERG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48544-2021</t>
        </is>
      </c>
      <c r="B19" s="1" t="n">
        <v>44452</v>
      </c>
      <c r="C19" s="1" t="n">
        <v>46183</v>
      </c>
      <c r="D19" t="inlineStr">
        <is>
          <t>VÄSTMANLANDS LÄN</t>
        </is>
      </c>
      <c r="E19" t="inlineStr">
        <is>
          <t>NORBERG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45934-2021</t>
        </is>
      </c>
      <c r="B20" s="1" t="n">
        <v>44441</v>
      </c>
      <c r="C20" s="1" t="n">
        <v>46183</v>
      </c>
      <c r="D20" t="inlineStr">
        <is>
          <t>VÄSTMANLANDS LÄN</t>
        </is>
      </c>
      <c r="E20" t="inlineStr">
        <is>
          <t>NORBERG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6353-2022</t>
        </is>
      </c>
      <c r="B21" s="1" t="n">
        <v>44600</v>
      </c>
      <c r="C21" s="1" t="n">
        <v>46183</v>
      </c>
      <c r="D21" t="inlineStr">
        <is>
          <t>VÄSTMANLANDS LÄN</t>
        </is>
      </c>
      <c r="E21" t="inlineStr">
        <is>
          <t>NORBERG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45213-2022</t>
        </is>
      </c>
      <c r="B22" s="1" t="n">
        <v>44844.44208333334</v>
      </c>
      <c r="C22" s="1" t="n">
        <v>46183</v>
      </c>
      <c r="D22" t="inlineStr">
        <is>
          <t>VÄSTMANLANDS LÄN</t>
        </is>
      </c>
      <c r="E22" t="inlineStr">
        <is>
          <t>NORBERG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29244-2021</t>
        </is>
      </c>
      <c r="B23" s="1" t="n">
        <v>44360</v>
      </c>
      <c r="C23" s="1" t="n">
        <v>46183</v>
      </c>
      <c r="D23" t="inlineStr">
        <is>
          <t>VÄSTMANLANDS LÄN</t>
        </is>
      </c>
      <c r="E23" t="inlineStr">
        <is>
          <t>NORBERG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47607-2022</t>
        </is>
      </c>
      <c r="B24" s="1" t="n">
        <v>44852</v>
      </c>
      <c r="C24" s="1" t="n">
        <v>46183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31257-2021</t>
        </is>
      </c>
      <c r="B25" s="1" t="n">
        <v>44368</v>
      </c>
      <c r="C25" s="1" t="n">
        <v>46183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44015-2022</t>
        </is>
      </c>
      <c r="B26" s="1" t="n">
        <v>44838.80408564815</v>
      </c>
      <c r="C26" s="1" t="n">
        <v>46183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9875-2022</t>
        </is>
      </c>
      <c r="B27" s="1" t="n">
        <v>44620.57958333333</v>
      </c>
      <c r="C27" s="1" t="n">
        <v>46183</v>
      </c>
      <c r="D27" t="inlineStr">
        <is>
          <t>VÄSTMANLANDS LÄN</t>
        </is>
      </c>
      <c r="E27" t="inlineStr">
        <is>
          <t>NORBERG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42504-2022</t>
        </is>
      </c>
      <c r="B28" s="1" t="n">
        <v>44831.58111111111</v>
      </c>
      <c r="C28" s="1" t="n">
        <v>46183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42505-2022</t>
        </is>
      </c>
      <c r="B29" s="1" t="n">
        <v>44831.58203703703</v>
      </c>
      <c r="C29" s="1" t="n">
        <v>46183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46641-2022</t>
        </is>
      </c>
      <c r="B30" s="1" t="n">
        <v>44849</v>
      </c>
      <c r="C30" s="1" t="n">
        <v>46183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12233-2022</t>
        </is>
      </c>
      <c r="B31" s="1" t="n">
        <v>44635</v>
      </c>
      <c r="C31" s="1" t="n">
        <v>46183</v>
      </c>
      <c r="D31" t="inlineStr">
        <is>
          <t>VÄSTMANLANDS LÄN</t>
        </is>
      </c>
      <c r="E31" t="inlineStr">
        <is>
          <t>NORBERG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67361-2021</t>
        </is>
      </c>
      <c r="B32" s="1" t="n">
        <v>44523</v>
      </c>
      <c r="C32" s="1" t="n">
        <v>46183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2312-2022</t>
        </is>
      </c>
      <c r="B33" s="1" t="n">
        <v>44578</v>
      </c>
      <c r="C33" s="1" t="n">
        <v>46183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56929-2021</t>
        </is>
      </c>
      <c r="B34" s="1" t="n">
        <v>44480</v>
      </c>
      <c r="C34" s="1" t="n">
        <v>46183</v>
      </c>
      <c r="D34" t="inlineStr">
        <is>
          <t>VÄSTMANLANDS LÄN</t>
        </is>
      </c>
      <c r="E34" t="inlineStr">
        <is>
          <t>NORBERG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48143-2021</t>
        </is>
      </c>
      <c r="B35" s="1" t="n">
        <v>44449</v>
      </c>
      <c r="C35" s="1" t="n">
        <v>46183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35656-2021</t>
        </is>
      </c>
      <c r="B36" s="1" t="n">
        <v>44386.4384375</v>
      </c>
      <c r="C36" s="1" t="n">
        <v>46183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47610-2022</t>
        </is>
      </c>
      <c r="B37" s="1" t="n">
        <v>44852</v>
      </c>
      <c r="C37" s="1" t="n">
        <v>46183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45066-2023</t>
        </is>
      </c>
      <c r="B38" s="1" t="n">
        <v>45191</v>
      </c>
      <c r="C38" s="1" t="n">
        <v>46183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47599-2022</t>
        </is>
      </c>
      <c r="B39" s="1" t="n">
        <v>44852</v>
      </c>
      <c r="C39" s="1" t="n">
        <v>46183</v>
      </c>
      <c r="D39" t="inlineStr">
        <is>
          <t>VÄSTMANLANDS LÄN</t>
        </is>
      </c>
      <c r="E39" t="inlineStr">
        <is>
          <t>NORBERG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25540-2023</t>
        </is>
      </c>
      <c r="B40" s="1" t="n">
        <v>45089.5619212963</v>
      </c>
      <c r="C40" s="1" t="n">
        <v>46183</v>
      </c>
      <c r="D40" t="inlineStr">
        <is>
          <t>VÄSTMANLANDS LÄN</t>
        </is>
      </c>
      <c r="E40" t="inlineStr">
        <is>
          <t>NORBERG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67356-2021</t>
        </is>
      </c>
      <c r="B41" s="1" t="n">
        <v>44523</v>
      </c>
      <c r="C41" s="1" t="n">
        <v>46183</v>
      </c>
      <c r="D41" t="inlineStr">
        <is>
          <t>VÄSTMANLANDS LÄN</t>
        </is>
      </c>
      <c r="E41" t="inlineStr">
        <is>
          <t>NORBERG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15890-2024</t>
        </is>
      </c>
      <c r="B42" s="1" t="n">
        <v>45405</v>
      </c>
      <c r="C42" s="1" t="n">
        <v>46183</v>
      </c>
      <c r="D42" t="inlineStr">
        <is>
          <t>VÄSTMANLANDS LÄN</t>
        </is>
      </c>
      <c r="E42" t="inlineStr">
        <is>
          <t>NORBERG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17075-2023</t>
        </is>
      </c>
      <c r="B43" s="1" t="n">
        <v>45034</v>
      </c>
      <c r="C43" s="1" t="n">
        <v>46183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11099-2023</t>
        </is>
      </c>
      <c r="B44" s="1" t="n">
        <v>44992</v>
      </c>
      <c r="C44" s="1" t="n">
        <v>46183</v>
      </c>
      <c r="D44" t="inlineStr">
        <is>
          <t>VÄSTMANLANDS LÄN</t>
        </is>
      </c>
      <c r="E44" t="inlineStr">
        <is>
          <t>NORBERG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45065-2023</t>
        </is>
      </c>
      <c r="B45" s="1" t="n">
        <v>45191</v>
      </c>
      <c r="C45" s="1" t="n">
        <v>46183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11664-2023</t>
        </is>
      </c>
      <c r="B46" s="1" t="n">
        <v>44992</v>
      </c>
      <c r="C46" s="1" t="n">
        <v>46183</v>
      </c>
      <c r="D46" t="inlineStr">
        <is>
          <t>VÄSTMANLANDS LÄN</t>
        </is>
      </c>
      <c r="E46" t="inlineStr">
        <is>
          <t>NORBERG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27589-2024</t>
        </is>
      </c>
      <c r="B47" s="1" t="n">
        <v>45474.67520833333</v>
      </c>
      <c r="C47" s="1" t="n">
        <v>46183</v>
      </c>
      <c r="D47" t="inlineStr">
        <is>
          <t>VÄSTMANLANDS LÄN</t>
        </is>
      </c>
      <c r="E47" t="inlineStr">
        <is>
          <t>NORBERG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46041-2023</t>
        </is>
      </c>
      <c r="B48" s="1" t="n">
        <v>45196</v>
      </c>
      <c r="C48" s="1" t="n">
        <v>46183</v>
      </c>
      <c r="D48" t="inlineStr">
        <is>
          <t>VÄSTMANLANDS LÄN</t>
        </is>
      </c>
      <c r="E48" t="inlineStr">
        <is>
          <t>NORBERG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18128-2024</t>
        </is>
      </c>
      <c r="B49" s="1" t="n">
        <v>45420.56232638889</v>
      </c>
      <c r="C49" s="1" t="n">
        <v>46183</v>
      </c>
      <c r="D49" t="inlineStr">
        <is>
          <t>VÄSTMANLANDS LÄN</t>
        </is>
      </c>
      <c r="E49" t="inlineStr">
        <is>
          <t>NORBERG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51798-2024</t>
        </is>
      </c>
      <c r="B50" s="1" t="n">
        <v>45607.46910879629</v>
      </c>
      <c r="C50" s="1" t="n">
        <v>46183</v>
      </c>
      <c r="D50" t="inlineStr">
        <is>
          <t>VÄSTMANLANDS LÄN</t>
        </is>
      </c>
      <c r="E50" t="inlineStr">
        <is>
          <t>NORBERG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47846-2024</t>
        </is>
      </c>
      <c r="B51" s="1" t="n">
        <v>45588</v>
      </c>
      <c r="C51" s="1" t="n">
        <v>46183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16225-2023</t>
        </is>
      </c>
      <c r="B52" s="1" t="n">
        <v>45028.39668981481</v>
      </c>
      <c r="C52" s="1" t="n">
        <v>46183</v>
      </c>
      <c r="D52" t="inlineStr">
        <is>
          <t>VÄSTMANLANDS LÄN</t>
        </is>
      </c>
      <c r="E52" t="inlineStr">
        <is>
          <t>NORBERG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13654-2024</t>
        </is>
      </c>
      <c r="B53" s="1" t="n">
        <v>45390.4814699074</v>
      </c>
      <c r="C53" s="1" t="n">
        <v>46183</v>
      </c>
      <c r="D53" t="inlineStr">
        <is>
          <t>VÄSTMANLANDS LÄN</t>
        </is>
      </c>
      <c r="E53" t="inlineStr">
        <is>
          <t>NORBERG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3587-2024</t>
        </is>
      </c>
      <c r="B54" s="1" t="n">
        <v>45320</v>
      </c>
      <c r="C54" s="1" t="n">
        <v>46183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50124-2022</t>
        </is>
      </c>
      <c r="B55" s="1" t="n">
        <v>44860</v>
      </c>
      <c r="C55" s="1" t="n">
        <v>46183</v>
      </c>
      <c r="D55" t="inlineStr">
        <is>
          <t>VÄSTMANLANDS LÄN</t>
        </is>
      </c>
      <c r="E55" t="inlineStr">
        <is>
          <t>NORBERG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43103-2024</t>
        </is>
      </c>
      <c r="B56" s="1" t="n">
        <v>45567</v>
      </c>
      <c r="C56" s="1" t="n">
        <v>46183</v>
      </c>
      <c r="D56" t="inlineStr">
        <is>
          <t>VÄSTMANLANDS LÄN</t>
        </is>
      </c>
      <c r="E56" t="inlineStr">
        <is>
          <t>NORBERG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14181-2025</t>
        </is>
      </c>
      <c r="B57" s="1" t="n">
        <v>45740</v>
      </c>
      <c r="C57" s="1" t="n">
        <v>46183</v>
      </c>
      <c r="D57" t="inlineStr">
        <is>
          <t>VÄSTMANLANDS LÄN</t>
        </is>
      </c>
      <c r="E57" t="inlineStr">
        <is>
          <t>NORBERG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23418-2025</t>
        </is>
      </c>
      <c r="B58" s="1" t="n">
        <v>45792.35083333333</v>
      </c>
      <c r="C58" s="1" t="n">
        <v>46183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23433-2025</t>
        </is>
      </c>
      <c r="B59" s="1" t="n">
        <v>45792.36696759259</v>
      </c>
      <c r="C59" s="1" t="n">
        <v>46183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36905-2023</t>
        </is>
      </c>
      <c r="B60" s="1" t="n">
        <v>45154</v>
      </c>
      <c r="C60" s="1" t="n">
        <v>46183</v>
      </c>
      <c r="D60" t="inlineStr">
        <is>
          <t>VÄSTMANLANDS LÄN</t>
        </is>
      </c>
      <c r="E60" t="inlineStr">
        <is>
          <t>NORBERG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21543-2023</t>
        </is>
      </c>
      <c r="B61" s="1" t="n">
        <v>45063.55581018519</v>
      </c>
      <c r="C61" s="1" t="n">
        <v>46183</v>
      </c>
      <c r="D61" t="inlineStr">
        <is>
          <t>VÄSTMANLANDS LÄN</t>
        </is>
      </c>
      <c r="E61" t="inlineStr">
        <is>
          <t>NORBERG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52063-2022</t>
        </is>
      </c>
      <c r="B62" s="1" t="n">
        <v>44873</v>
      </c>
      <c r="C62" s="1" t="n">
        <v>46183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40144-2023</t>
        </is>
      </c>
      <c r="B63" s="1" t="n">
        <v>45169.34836805556</v>
      </c>
      <c r="C63" s="1" t="n">
        <v>46183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63495-2023</t>
        </is>
      </c>
      <c r="B64" s="1" t="n">
        <v>45274.67429398148</v>
      </c>
      <c r="C64" s="1" t="n">
        <v>46183</v>
      </c>
      <c r="D64" t="inlineStr">
        <is>
          <t>VÄSTMANLANDS LÄN</t>
        </is>
      </c>
      <c r="E64" t="inlineStr">
        <is>
          <t>NORBERG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8746-2023</t>
        </is>
      </c>
      <c r="B65" s="1" t="n">
        <v>44973</v>
      </c>
      <c r="C65" s="1" t="n">
        <v>46183</v>
      </c>
      <c r="D65" t="inlineStr">
        <is>
          <t>VÄSTMANLANDS LÄN</t>
        </is>
      </c>
      <c r="E65" t="inlineStr">
        <is>
          <t>NORBERG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45290-2024</t>
        </is>
      </c>
      <c r="B66" s="1" t="n">
        <v>45576.39340277778</v>
      </c>
      <c r="C66" s="1" t="n">
        <v>46183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48396-2023</t>
        </is>
      </c>
      <c r="B67" s="1" t="n">
        <v>45205.78081018518</v>
      </c>
      <c r="C67" s="1" t="n">
        <v>46183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25477-2023</t>
        </is>
      </c>
      <c r="B68" s="1" t="n">
        <v>45089.46127314815</v>
      </c>
      <c r="C68" s="1" t="n">
        <v>46183</v>
      </c>
      <c r="D68" t="inlineStr">
        <is>
          <t>VÄSTMANLANDS LÄN</t>
        </is>
      </c>
      <c r="E68" t="inlineStr">
        <is>
          <t>NORBERG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32524-2023</t>
        </is>
      </c>
      <c r="B69" s="1" t="n">
        <v>45121.37228009259</v>
      </c>
      <c r="C69" s="1" t="n">
        <v>46183</v>
      </c>
      <c r="D69" t="inlineStr">
        <is>
          <t>VÄSTMANLANDS LÄN</t>
        </is>
      </c>
      <c r="E69" t="inlineStr">
        <is>
          <t>NORBERG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13835-2025</t>
        </is>
      </c>
      <c r="B70" s="1" t="n">
        <v>45737</v>
      </c>
      <c r="C70" s="1" t="n">
        <v>46183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20378-2023</t>
        </is>
      </c>
      <c r="B71" s="1" t="n">
        <v>45056</v>
      </c>
      <c r="C71" s="1" t="n">
        <v>46183</v>
      </c>
      <c r="D71" t="inlineStr">
        <is>
          <t>VÄSTMANLANDS LÄN</t>
        </is>
      </c>
      <c r="E71" t="inlineStr">
        <is>
          <t>NORBERG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11099-2022</t>
        </is>
      </c>
      <c r="B72" s="1" t="n">
        <v>44628.72158564815</v>
      </c>
      <c r="C72" s="1" t="n">
        <v>46183</v>
      </c>
      <c r="D72" t="inlineStr">
        <is>
          <t>VÄSTMANLANDS LÄN</t>
        </is>
      </c>
      <c r="E72" t="inlineStr">
        <is>
          <t>NORBERG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21232-2024</t>
        </is>
      </c>
      <c r="B73" s="1" t="n">
        <v>45440</v>
      </c>
      <c r="C73" s="1" t="n">
        <v>46183</v>
      </c>
      <c r="D73" t="inlineStr">
        <is>
          <t>VÄSTMANLANDS LÄN</t>
        </is>
      </c>
      <c r="E73" t="inlineStr">
        <is>
          <t>NORBERG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16629-2024</t>
        </is>
      </c>
      <c r="B74" s="1" t="n">
        <v>45408</v>
      </c>
      <c r="C74" s="1" t="n">
        <v>46183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46045-2023</t>
        </is>
      </c>
      <c r="B75" s="1" t="n">
        <v>45196</v>
      </c>
      <c r="C75" s="1" t="n">
        <v>46183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1814-2023</t>
        </is>
      </c>
      <c r="B76" s="1" t="n">
        <v>44938.65002314815</v>
      </c>
      <c r="C76" s="1" t="n">
        <v>46183</v>
      </c>
      <c r="D76" t="inlineStr">
        <is>
          <t>VÄSTMANLANDS LÄN</t>
        </is>
      </c>
      <c r="E76" t="inlineStr">
        <is>
          <t>NORBERG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16042-2024</t>
        </is>
      </c>
      <c r="B77" s="1" t="n">
        <v>45405</v>
      </c>
      <c r="C77" s="1" t="n">
        <v>46183</v>
      </c>
      <c r="D77" t="inlineStr">
        <is>
          <t>VÄSTMANLANDS LÄN</t>
        </is>
      </c>
      <c r="E77" t="inlineStr">
        <is>
          <t>NORBERG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54306-2023</t>
        </is>
      </c>
      <c r="B78" s="1" t="n">
        <v>45232</v>
      </c>
      <c r="C78" s="1" t="n">
        <v>46183</v>
      </c>
      <c r="D78" t="inlineStr">
        <is>
          <t>VÄSTMANLANDS LÄN</t>
        </is>
      </c>
      <c r="E78" t="inlineStr">
        <is>
          <t>NORBERG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59705-2024</t>
        </is>
      </c>
      <c r="B79" s="1" t="n">
        <v>45639</v>
      </c>
      <c r="C79" s="1" t="n">
        <v>46183</v>
      </c>
      <c r="D79" t="inlineStr">
        <is>
          <t>VÄSTMANLANDS LÄN</t>
        </is>
      </c>
      <c r="E79" t="inlineStr">
        <is>
          <t>NORBERG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37200-2023</t>
        </is>
      </c>
      <c r="B80" s="1" t="n">
        <v>45155.67111111111</v>
      </c>
      <c r="C80" s="1" t="n">
        <v>46183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29620-2025</t>
        </is>
      </c>
      <c r="B81" s="1" t="n">
        <v>45825.43447916667</v>
      </c>
      <c r="C81" s="1" t="n">
        <v>46183</v>
      </c>
      <c r="D81" t="inlineStr">
        <is>
          <t>VÄSTMANLANDS LÄN</t>
        </is>
      </c>
      <c r="E81" t="inlineStr">
        <is>
          <t>NORBERG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7744-2023</t>
        </is>
      </c>
      <c r="B82" s="1" t="n">
        <v>44973</v>
      </c>
      <c r="C82" s="1" t="n">
        <v>46183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16503-2024</t>
        </is>
      </c>
      <c r="B83" s="1" t="n">
        <v>45408</v>
      </c>
      <c r="C83" s="1" t="n">
        <v>46183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16565-2025</t>
        </is>
      </c>
      <c r="B84" s="1" t="n">
        <v>45752.38246527778</v>
      </c>
      <c r="C84" s="1" t="n">
        <v>46183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30211-2025</t>
        </is>
      </c>
      <c r="B85" s="1" t="n">
        <v>45827.36601851852</v>
      </c>
      <c r="C85" s="1" t="n">
        <v>46183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6388-2025</t>
        </is>
      </c>
      <c r="B86" s="1" t="n">
        <v>45699.42703703704</v>
      </c>
      <c r="C86" s="1" t="n">
        <v>46183</v>
      </c>
      <c r="D86" t="inlineStr">
        <is>
          <t>VÄSTMANLANDS LÄN</t>
        </is>
      </c>
      <c r="E86" t="inlineStr">
        <is>
          <t>NORBERG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53224-2024</t>
        </is>
      </c>
      <c r="B87" s="1" t="n">
        <v>45613.46733796296</v>
      </c>
      <c r="C87" s="1" t="n">
        <v>46183</v>
      </c>
      <c r="D87" t="inlineStr">
        <is>
          <t>VÄSTMANLANDS LÄN</t>
        </is>
      </c>
      <c r="E87" t="inlineStr">
        <is>
          <t>NORBERG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51793-2024</t>
        </is>
      </c>
      <c r="B88" s="1" t="n">
        <v>45607.46585648148</v>
      </c>
      <c r="C88" s="1" t="n">
        <v>46183</v>
      </c>
      <c r="D88" t="inlineStr">
        <is>
          <t>VÄSTMANLANDS LÄN</t>
        </is>
      </c>
      <c r="E88" t="inlineStr">
        <is>
          <t>NORBERG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40153-2023</t>
        </is>
      </c>
      <c r="B89" s="1" t="n">
        <v>45169.35862268518</v>
      </c>
      <c r="C89" s="1" t="n">
        <v>46183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9907-2024</t>
        </is>
      </c>
      <c r="B90" s="1" t="n">
        <v>45363</v>
      </c>
      <c r="C90" s="1" t="n">
        <v>46183</v>
      </c>
      <c r="D90" t="inlineStr">
        <is>
          <t>VÄSTMANLANDS LÄN</t>
        </is>
      </c>
      <c r="E90" t="inlineStr">
        <is>
          <t>NORBERG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15810-2025</t>
        </is>
      </c>
      <c r="B91" s="1" t="n">
        <v>45748.66413194445</v>
      </c>
      <c r="C91" s="1" t="n">
        <v>46183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37011-2023</t>
        </is>
      </c>
      <c r="B92" s="1" t="n">
        <v>45155</v>
      </c>
      <c r="C92" s="1" t="n">
        <v>46183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3354-2025</t>
        </is>
      </c>
      <c r="B93" s="1" t="n">
        <v>45679</v>
      </c>
      <c r="C93" s="1" t="n">
        <v>46183</v>
      </c>
      <c r="D93" t="inlineStr">
        <is>
          <t>VÄSTMANLANDS LÄN</t>
        </is>
      </c>
      <c r="E93" t="inlineStr">
        <is>
          <t>NORBERG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38018-2025</t>
        </is>
      </c>
      <c r="B94" s="1" t="n">
        <v>45882.33851851852</v>
      </c>
      <c r="C94" s="1" t="n">
        <v>46183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15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38019-2025</t>
        </is>
      </c>
      <c r="B95" s="1" t="n">
        <v>45882.34303240741</v>
      </c>
      <c r="C95" s="1" t="n">
        <v>46183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38017-2025</t>
        </is>
      </c>
      <c r="B96" s="1" t="n">
        <v>45882.33378472222</v>
      </c>
      <c r="C96" s="1" t="n">
        <v>46183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18673-2022</t>
        </is>
      </c>
      <c r="B97" s="1" t="n">
        <v>44687.55239583334</v>
      </c>
      <c r="C97" s="1" t="n">
        <v>46183</v>
      </c>
      <c r="D97" t="inlineStr">
        <is>
          <t>VÄSTMANLANDS LÄN</t>
        </is>
      </c>
      <c r="E97" t="inlineStr">
        <is>
          <t>NORBERG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53030-2023</t>
        </is>
      </c>
      <c r="B98" s="1" t="n">
        <v>45226</v>
      </c>
      <c r="C98" s="1" t="n">
        <v>46183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56940-2021</t>
        </is>
      </c>
      <c r="B99" s="1" t="n">
        <v>44480</v>
      </c>
      <c r="C99" s="1" t="n">
        <v>46183</v>
      </c>
      <c r="D99" t="inlineStr">
        <is>
          <t>VÄSTMANLANDS LÄN</t>
        </is>
      </c>
      <c r="E99" t="inlineStr">
        <is>
          <t>NORBERG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12526-2025</t>
        </is>
      </c>
      <c r="B100" s="1" t="n">
        <v>45730.68177083333</v>
      </c>
      <c r="C100" s="1" t="n">
        <v>46183</v>
      </c>
      <c r="D100" t="inlineStr">
        <is>
          <t>VÄSTMANLANDS LÄN</t>
        </is>
      </c>
      <c r="E100" t="inlineStr">
        <is>
          <t>NORBERG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63777-2025</t>
        </is>
      </c>
      <c r="B101" s="1" t="n">
        <v>46019</v>
      </c>
      <c r="C101" s="1" t="n">
        <v>46183</v>
      </c>
      <c r="D101" t="inlineStr">
        <is>
          <t>VÄSTMANLANDS LÄN</t>
        </is>
      </c>
      <c r="E101" t="inlineStr">
        <is>
          <t>NORBERG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40232-2024</t>
        </is>
      </c>
      <c r="B102" s="1" t="n">
        <v>45554</v>
      </c>
      <c r="C102" s="1" t="n">
        <v>46183</v>
      </c>
      <c r="D102" t="inlineStr">
        <is>
          <t>VÄSTMANLANDS LÄN</t>
        </is>
      </c>
      <c r="E102" t="inlineStr">
        <is>
          <t>NORBERG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34967-2023</t>
        </is>
      </c>
      <c r="B103" s="1" t="n">
        <v>45142</v>
      </c>
      <c r="C103" s="1" t="n">
        <v>46183</v>
      </c>
      <c r="D103" t="inlineStr">
        <is>
          <t>VÄSTMANLANDS LÄN</t>
        </is>
      </c>
      <c r="E103" t="inlineStr">
        <is>
          <t>NORBERG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57993-2024</t>
        </is>
      </c>
      <c r="B104" s="1" t="n">
        <v>45631</v>
      </c>
      <c r="C104" s="1" t="n">
        <v>46183</v>
      </c>
      <c r="D104" t="inlineStr">
        <is>
          <t>VÄSTMANLANDS LÄN</t>
        </is>
      </c>
      <c r="E104" t="inlineStr">
        <is>
          <t>NORBERG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20407-2026</t>
        </is>
      </c>
      <c r="B105" s="1" t="n">
        <v>46139</v>
      </c>
      <c r="C105" s="1" t="n">
        <v>46183</v>
      </c>
      <c r="D105" t="inlineStr">
        <is>
          <t>VÄSTMANLANDS LÄN</t>
        </is>
      </c>
      <c r="E105" t="inlineStr">
        <is>
          <t>NORBERG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19254-2023</t>
        </is>
      </c>
      <c r="B106" s="1" t="n">
        <v>45049</v>
      </c>
      <c r="C106" s="1" t="n">
        <v>46183</v>
      </c>
      <c r="D106" t="inlineStr">
        <is>
          <t>VÄSTMANLANDS LÄN</t>
        </is>
      </c>
      <c r="E106" t="inlineStr">
        <is>
          <t>NORBERG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40140-2023</t>
        </is>
      </c>
      <c r="B107" s="1" t="n">
        <v>45169</v>
      </c>
      <c r="C107" s="1" t="n">
        <v>46183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50005-2024</t>
        </is>
      </c>
      <c r="B108" s="1" t="n">
        <v>45598</v>
      </c>
      <c r="C108" s="1" t="n">
        <v>46183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44884-2025</t>
        </is>
      </c>
      <c r="B109" s="1" t="n">
        <v>45918</v>
      </c>
      <c r="C109" s="1" t="n">
        <v>46183</v>
      </c>
      <c r="D109" t="inlineStr">
        <is>
          <t>VÄSTMANLANDS LÄN</t>
        </is>
      </c>
      <c r="E109" t="inlineStr">
        <is>
          <t>NORBERG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40154-2023</t>
        </is>
      </c>
      <c r="B110" s="1" t="n">
        <v>45169.35931712963</v>
      </c>
      <c r="C110" s="1" t="n">
        <v>46183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7417-2025</t>
        </is>
      </c>
      <c r="B111" s="1" t="n">
        <v>45705.37321759259</v>
      </c>
      <c r="C111" s="1" t="n">
        <v>46183</v>
      </c>
      <c r="D111" t="inlineStr">
        <is>
          <t>VÄSTMANLANDS LÄN</t>
        </is>
      </c>
      <c r="E111" t="inlineStr">
        <is>
          <t>NORBERG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73797-2021</t>
        </is>
      </c>
      <c r="B112" s="1" t="n">
        <v>44552.67962962963</v>
      </c>
      <c r="C112" s="1" t="n">
        <v>46183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57990-2024</t>
        </is>
      </c>
      <c r="B113" s="1" t="n">
        <v>45631</v>
      </c>
      <c r="C113" s="1" t="n">
        <v>46183</v>
      </c>
      <c r="D113" t="inlineStr">
        <is>
          <t>VÄSTMANLANDS LÄN</t>
        </is>
      </c>
      <c r="E113" t="inlineStr">
        <is>
          <t>NORBERG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56936-2021</t>
        </is>
      </c>
      <c r="B114" s="1" t="n">
        <v>44480</v>
      </c>
      <c r="C114" s="1" t="n">
        <v>46183</v>
      </c>
      <c r="D114" t="inlineStr">
        <is>
          <t>VÄSTMANLANDS LÄN</t>
        </is>
      </c>
      <c r="E114" t="inlineStr">
        <is>
          <t>NORBERG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63505-2023</t>
        </is>
      </c>
      <c r="B115" s="1" t="n">
        <v>45274.68616898148</v>
      </c>
      <c r="C115" s="1" t="n">
        <v>46183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37198-2023</t>
        </is>
      </c>
      <c r="B116" s="1" t="n">
        <v>45155.66938657407</v>
      </c>
      <c r="C116" s="1" t="n">
        <v>46183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49001-2025</t>
        </is>
      </c>
      <c r="B117" s="1" t="n">
        <v>45937.59658564815</v>
      </c>
      <c r="C117" s="1" t="n">
        <v>46183</v>
      </c>
      <c r="D117" t="inlineStr">
        <is>
          <t>VÄSTMANLANDS LÄN</t>
        </is>
      </c>
      <c r="E117" t="inlineStr">
        <is>
          <t>NORBERG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48997-2025</t>
        </is>
      </c>
      <c r="B118" s="1" t="n">
        <v>45937.58998842593</v>
      </c>
      <c r="C118" s="1" t="n">
        <v>46183</v>
      </c>
      <c r="D118" t="inlineStr">
        <is>
          <t>VÄSTMANLANDS LÄN</t>
        </is>
      </c>
      <c r="E118" t="inlineStr">
        <is>
          <t>NORBERG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46864-2023</t>
        </is>
      </c>
      <c r="B119" s="1" t="n">
        <v>45200.55300925926</v>
      </c>
      <c r="C119" s="1" t="n">
        <v>46183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19164-2025</t>
        </is>
      </c>
      <c r="B120" s="1" t="n">
        <v>45769</v>
      </c>
      <c r="C120" s="1" t="n">
        <v>46183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19173-2025</t>
        </is>
      </c>
      <c r="B121" s="1" t="n">
        <v>45769.39085648148</v>
      </c>
      <c r="C121" s="1" t="n">
        <v>46183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18960-2025</t>
        </is>
      </c>
      <c r="B122" s="1" t="n">
        <v>45764.52758101852</v>
      </c>
      <c r="C122" s="1" t="n">
        <v>46183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13838-2025</t>
        </is>
      </c>
      <c r="B123" s="1" t="n">
        <v>45737.55372685185</v>
      </c>
      <c r="C123" s="1" t="n">
        <v>46183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27580-2024</t>
        </is>
      </c>
      <c r="B124" s="1" t="n">
        <v>45474.65596064815</v>
      </c>
      <c r="C124" s="1" t="n">
        <v>46183</v>
      </c>
      <c r="D124" t="inlineStr">
        <is>
          <t>VÄSTMANLANDS LÄN</t>
        </is>
      </c>
      <c r="E124" t="inlineStr">
        <is>
          <t>NORBERG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12796-2023</t>
        </is>
      </c>
      <c r="B125" s="1" t="n">
        <v>45001.40960648148</v>
      </c>
      <c r="C125" s="1" t="n">
        <v>46183</v>
      </c>
      <c r="D125" t="inlineStr">
        <is>
          <t>VÄSTMANLANDS LÄN</t>
        </is>
      </c>
      <c r="E125" t="inlineStr">
        <is>
          <t>NORBERG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19253-2023</t>
        </is>
      </c>
      <c r="B126" s="1" t="n">
        <v>45049.32165509259</v>
      </c>
      <c r="C126" s="1" t="n">
        <v>46183</v>
      </c>
      <c r="D126" t="inlineStr">
        <is>
          <t>VÄSTMANLANDS LÄN</t>
        </is>
      </c>
      <c r="E126" t="inlineStr">
        <is>
          <t>NORBERG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51778-2024</t>
        </is>
      </c>
      <c r="B127" s="1" t="n">
        <v>45607.4571875</v>
      </c>
      <c r="C127" s="1" t="n">
        <v>46183</v>
      </c>
      <c r="D127" t="inlineStr">
        <is>
          <t>VÄSTMANLANDS LÄN</t>
        </is>
      </c>
      <c r="E127" t="inlineStr">
        <is>
          <t>NORBERG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48859-2022</t>
        </is>
      </c>
      <c r="B128" s="1" t="n">
        <v>44859.69474537037</v>
      </c>
      <c r="C128" s="1" t="n">
        <v>46183</v>
      </c>
      <c r="D128" t="inlineStr">
        <is>
          <t>VÄSTMANLANDS LÄN</t>
        </is>
      </c>
      <c r="E128" t="inlineStr">
        <is>
          <t>NORBERG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46865-2023</t>
        </is>
      </c>
      <c r="B129" s="1" t="n">
        <v>45200</v>
      </c>
      <c r="C129" s="1" t="n">
        <v>46183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54670-2025</t>
        </is>
      </c>
      <c r="B130" s="1" t="n">
        <v>45966.40912037037</v>
      </c>
      <c r="C130" s="1" t="n">
        <v>46183</v>
      </c>
      <c r="D130" t="inlineStr">
        <is>
          <t>VÄSTMANLANDS LÄN</t>
        </is>
      </c>
      <c r="E130" t="inlineStr">
        <is>
          <t>NORBERG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13837-2025</t>
        </is>
      </c>
      <c r="B131" s="1" t="n">
        <v>45737.55307870371</v>
      </c>
      <c r="C131" s="1" t="n">
        <v>46183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39255-2024</t>
        </is>
      </c>
      <c r="B132" s="1" t="n">
        <v>45551</v>
      </c>
      <c r="C132" s="1" t="n">
        <v>46183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41448-2024</t>
        </is>
      </c>
      <c r="B133" s="1" t="n">
        <v>45560.40017361111</v>
      </c>
      <c r="C133" s="1" t="n">
        <v>46183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28589-2023</t>
        </is>
      </c>
      <c r="B134" s="1" t="n">
        <v>45103.56412037037</v>
      </c>
      <c r="C134" s="1" t="n">
        <v>46183</v>
      </c>
      <c r="D134" t="inlineStr">
        <is>
          <t>VÄSTMANLANDS LÄN</t>
        </is>
      </c>
      <c r="E134" t="inlineStr">
        <is>
          <t>NORBERG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56400-2025</t>
        </is>
      </c>
      <c r="B135" s="1" t="n">
        <v>45974</v>
      </c>
      <c r="C135" s="1" t="n">
        <v>46183</v>
      </c>
      <c r="D135" t="inlineStr">
        <is>
          <t>VÄSTMANLANDS LÄN</t>
        </is>
      </c>
      <c r="E135" t="inlineStr">
        <is>
          <t>NORBERG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36443-2024</t>
        </is>
      </c>
      <c r="B136" s="1" t="n">
        <v>45537.30190972222</v>
      </c>
      <c r="C136" s="1" t="n">
        <v>46183</v>
      </c>
      <c r="D136" t="inlineStr">
        <is>
          <t>VÄSTMANLANDS LÄN</t>
        </is>
      </c>
      <c r="E136" t="inlineStr">
        <is>
          <t>NORBERG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39837-2024</t>
        </is>
      </c>
      <c r="B137" s="1" t="n">
        <v>45553</v>
      </c>
      <c r="C137" s="1" t="n">
        <v>46183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56726-2025</t>
        </is>
      </c>
      <c r="B138" s="1" t="n">
        <v>45978.31872685185</v>
      </c>
      <c r="C138" s="1" t="n">
        <v>46183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20381-2023</t>
        </is>
      </c>
      <c r="B139" s="1" t="n">
        <v>45056</v>
      </c>
      <c r="C139" s="1" t="n">
        <v>46183</v>
      </c>
      <c r="D139" t="inlineStr">
        <is>
          <t>VÄSTMANLANDS LÄN</t>
        </is>
      </c>
      <c r="E139" t="inlineStr">
        <is>
          <t>NORBERG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54573-2023</t>
        </is>
      </c>
      <c r="B140" s="1" t="n">
        <v>45233</v>
      </c>
      <c r="C140" s="1" t="n">
        <v>46183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23702-2024</t>
        </is>
      </c>
      <c r="B141" s="1" t="n">
        <v>45454</v>
      </c>
      <c r="C141" s="1" t="n">
        <v>46183</v>
      </c>
      <c r="D141" t="inlineStr">
        <is>
          <t>VÄSTMANLANDS LÄN</t>
        </is>
      </c>
      <c r="E141" t="inlineStr">
        <is>
          <t>NORBERG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23705-2024</t>
        </is>
      </c>
      <c r="B142" s="1" t="n">
        <v>45454</v>
      </c>
      <c r="C142" s="1" t="n">
        <v>46183</v>
      </c>
      <c r="D142" t="inlineStr">
        <is>
          <t>VÄSTMANLANDS LÄN</t>
        </is>
      </c>
      <c r="E142" t="inlineStr">
        <is>
          <t>NORBERG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24540-2022</t>
        </is>
      </c>
      <c r="B143" s="1" t="n">
        <v>44727.31997685185</v>
      </c>
      <c r="C143" s="1" t="n">
        <v>46183</v>
      </c>
      <c r="D143" t="inlineStr">
        <is>
          <t>VÄSTMANLANDS LÄN</t>
        </is>
      </c>
      <c r="E143" t="inlineStr">
        <is>
          <t>NORBERG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59527-2025</t>
        </is>
      </c>
      <c r="B144" s="1" t="n">
        <v>45989</v>
      </c>
      <c r="C144" s="1" t="n">
        <v>46183</v>
      </c>
      <c r="D144" t="inlineStr">
        <is>
          <t>VÄSTMANLANDS LÄN</t>
        </is>
      </c>
      <c r="E144" t="inlineStr">
        <is>
          <t>NORBERG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47753-2024</t>
        </is>
      </c>
      <c r="B145" s="1" t="n">
        <v>45588</v>
      </c>
      <c r="C145" s="1" t="n">
        <v>46183</v>
      </c>
      <c r="D145" t="inlineStr">
        <is>
          <t>VÄSTMANLANDS LÄN</t>
        </is>
      </c>
      <c r="E145" t="inlineStr">
        <is>
          <t>NORBERG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54143-2025</t>
        </is>
      </c>
      <c r="B146" s="1" t="n">
        <v>45964.48070601852</v>
      </c>
      <c r="C146" s="1" t="n">
        <v>46183</v>
      </c>
      <c r="D146" t="inlineStr">
        <is>
          <t>VÄSTMANLANDS LÄN</t>
        </is>
      </c>
      <c r="E146" t="inlineStr">
        <is>
          <t>NORBERG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42198-2023</t>
        </is>
      </c>
      <c r="B147" s="1" t="n">
        <v>45179</v>
      </c>
      <c r="C147" s="1" t="n">
        <v>46183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51790-2024</t>
        </is>
      </c>
      <c r="B148" s="1" t="n">
        <v>45607</v>
      </c>
      <c r="C148" s="1" t="n">
        <v>46183</v>
      </c>
      <c r="D148" t="inlineStr">
        <is>
          <t>VÄSTMANLANDS LÄN</t>
        </is>
      </c>
      <c r="E148" t="inlineStr">
        <is>
          <t>NORBERG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19377-2025</t>
        </is>
      </c>
      <c r="B149" s="1" t="n">
        <v>45769.65043981482</v>
      </c>
      <c r="C149" s="1" t="n">
        <v>46183</v>
      </c>
      <c r="D149" t="inlineStr">
        <is>
          <t>VÄSTMANLANDS LÄN</t>
        </is>
      </c>
      <c r="E149" t="inlineStr">
        <is>
          <t>NORBERG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3131-2024</t>
        </is>
      </c>
      <c r="B150" s="1" t="n">
        <v>45316</v>
      </c>
      <c r="C150" s="1" t="n">
        <v>46183</v>
      </c>
      <c r="D150" t="inlineStr">
        <is>
          <t>VÄSTMANLANDS LÄN</t>
        </is>
      </c>
      <c r="E150" t="inlineStr">
        <is>
          <t>NORBERG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43073-2024</t>
        </is>
      </c>
      <c r="B151" s="1" t="n">
        <v>45567</v>
      </c>
      <c r="C151" s="1" t="n">
        <v>46183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58616-2024</t>
        </is>
      </c>
      <c r="B152" s="1" t="n">
        <v>45632</v>
      </c>
      <c r="C152" s="1" t="n">
        <v>46183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19075-2022</t>
        </is>
      </c>
      <c r="B153" s="1" t="n">
        <v>44691</v>
      </c>
      <c r="C153" s="1" t="n">
        <v>46183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12110-2025</t>
        </is>
      </c>
      <c r="B154" s="1" t="n">
        <v>45729.3569212963</v>
      </c>
      <c r="C154" s="1" t="n">
        <v>46183</v>
      </c>
      <c r="D154" t="inlineStr">
        <is>
          <t>VÄSTMANLANDS LÄN</t>
        </is>
      </c>
      <c r="E154" t="inlineStr">
        <is>
          <t>NORBERG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47029-2024</t>
        </is>
      </c>
      <c r="B155" s="1" t="n">
        <v>45586.42438657407</v>
      </c>
      <c r="C155" s="1" t="n">
        <v>46183</v>
      </c>
      <c r="D155" t="inlineStr">
        <is>
          <t>VÄSTMANLANDS LÄN</t>
        </is>
      </c>
      <c r="E155" t="inlineStr">
        <is>
          <t>NORBERG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62155-2025</t>
        </is>
      </c>
      <c r="B156" s="1" t="n">
        <v>46006.4887962963</v>
      </c>
      <c r="C156" s="1" t="n">
        <v>46183</v>
      </c>
      <c r="D156" t="inlineStr">
        <is>
          <t>VÄSTMANLANDS LÄN</t>
        </is>
      </c>
      <c r="E156" t="inlineStr">
        <is>
          <t>NORBERG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49763-2024</t>
        </is>
      </c>
      <c r="B157" s="1" t="n">
        <v>45597</v>
      </c>
      <c r="C157" s="1" t="n">
        <v>46183</v>
      </c>
      <c r="D157" t="inlineStr">
        <is>
          <t>VÄSTMANLANDS LÄN</t>
        </is>
      </c>
      <c r="E157" t="inlineStr">
        <is>
          <t>NORBERG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62883-2025</t>
        </is>
      </c>
      <c r="B158" s="1" t="n">
        <v>46008.98494212963</v>
      </c>
      <c r="C158" s="1" t="n">
        <v>46183</v>
      </c>
      <c r="D158" t="inlineStr">
        <is>
          <t>VÄSTMANLANDS LÄN</t>
        </is>
      </c>
      <c r="E158" t="inlineStr">
        <is>
          <t>NORBERG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62882-2025</t>
        </is>
      </c>
      <c r="B159" s="1" t="n">
        <v>46008.97842592592</v>
      </c>
      <c r="C159" s="1" t="n">
        <v>46183</v>
      </c>
      <c r="D159" t="inlineStr">
        <is>
          <t>VÄSTMANLANDS LÄN</t>
        </is>
      </c>
      <c r="E159" t="inlineStr">
        <is>
          <t>NORBERG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62881-2025</t>
        </is>
      </c>
      <c r="B160" s="1" t="n">
        <v>46008.97306712963</v>
      </c>
      <c r="C160" s="1" t="n">
        <v>46183</v>
      </c>
      <c r="D160" t="inlineStr">
        <is>
          <t>VÄSTMANLANDS LÄN</t>
        </is>
      </c>
      <c r="E160" t="inlineStr">
        <is>
          <t>NORBERG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56-2026</t>
        </is>
      </c>
      <c r="B161" s="1" t="n">
        <v>46014</v>
      </c>
      <c r="C161" s="1" t="n">
        <v>46183</v>
      </c>
      <c r="D161" t="inlineStr">
        <is>
          <t>VÄSTMANLANDS LÄN</t>
        </is>
      </c>
      <c r="E161" t="inlineStr">
        <is>
          <t>NORBERG</t>
        </is>
      </c>
      <c r="G161" t="n">
        <v>22.8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62-2026</t>
        </is>
      </c>
      <c r="B162" s="1" t="n">
        <v>46014</v>
      </c>
      <c r="C162" s="1" t="n">
        <v>46183</v>
      </c>
      <c r="D162" t="inlineStr">
        <is>
          <t>VÄSTMANLANDS LÄN</t>
        </is>
      </c>
      <c r="E162" t="inlineStr">
        <is>
          <t>NORBERG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63907-2025</t>
        </is>
      </c>
      <c r="B163" s="1" t="n">
        <v>46020</v>
      </c>
      <c r="C163" s="1" t="n">
        <v>46183</v>
      </c>
      <c r="D163" t="inlineStr">
        <is>
          <t>VÄSTMANLANDS LÄN</t>
        </is>
      </c>
      <c r="E163" t="inlineStr">
        <is>
          <t>NORBERG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4887-2026</t>
        </is>
      </c>
      <c r="B164" s="1" t="n">
        <v>46045</v>
      </c>
      <c r="C164" s="1" t="n">
        <v>46183</v>
      </c>
      <c r="D164" t="inlineStr">
        <is>
          <t>VÄSTMANLANDS LÄN</t>
        </is>
      </c>
      <c r="E164" t="inlineStr">
        <is>
          <t>NORBERG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60339-2025</t>
        </is>
      </c>
      <c r="B165" s="1" t="n">
        <v>45994.81884259259</v>
      </c>
      <c r="C165" s="1" t="n">
        <v>46183</v>
      </c>
      <c r="D165" t="inlineStr">
        <is>
          <t>VÄSTMANLANDS LÄN</t>
        </is>
      </c>
      <c r="E165" t="inlineStr">
        <is>
          <t>NORBERG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13465-2026</t>
        </is>
      </c>
      <c r="B166" s="1" t="n">
        <v>46093</v>
      </c>
      <c r="C166" s="1" t="n">
        <v>46183</v>
      </c>
      <c r="D166" t="inlineStr">
        <is>
          <t>VÄSTMANLANDS LÄN</t>
        </is>
      </c>
      <c r="E166" t="inlineStr">
        <is>
          <t>NORBERG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13471-2026</t>
        </is>
      </c>
      <c r="B167" s="1" t="n">
        <v>46093</v>
      </c>
      <c r="C167" s="1" t="n">
        <v>46183</v>
      </c>
      <c r="D167" t="inlineStr">
        <is>
          <t>VÄSTMANLANDS LÄN</t>
        </is>
      </c>
      <c r="E167" t="inlineStr">
        <is>
          <t>NORBERG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14234-2026</t>
        </is>
      </c>
      <c r="B168" s="1" t="n">
        <v>46099.59288194445</v>
      </c>
      <c r="C168" s="1" t="n">
        <v>46183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20968-2026</t>
        </is>
      </c>
      <c r="B169" s="1" t="n">
        <v>46142</v>
      </c>
      <c r="C169" s="1" t="n">
        <v>46183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21218-2026</t>
        </is>
      </c>
      <c r="B170" s="1" t="n">
        <v>46146.69723379629</v>
      </c>
      <c r="C170" s="1" t="n">
        <v>46183</v>
      </c>
      <c r="D170" t="inlineStr">
        <is>
          <t>VÄSTMANLANDS LÄN</t>
        </is>
      </c>
      <c r="E170" t="inlineStr">
        <is>
          <t>NORBERG</t>
        </is>
      </c>
      <c r="F170" t="inlineStr">
        <is>
          <t>Bergvik skog väst AB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15261-2026</t>
        </is>
      </c>
      <c r="B171" s="1" t="n">
        <v>46105</v>
      </c>
      <c r="C171" s="1" t="n">
        <v>46183</v>
      </c>
      <c r="D171" t="inlineStr">
        <is>
          <t>VÄSTMANLANDS LÄN</t>
        </is>
      </c>
      <c r="E171" t="inlineStr">
        <is>
          <t>NORBERG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15263-2026</t>
        </is>
      </c>
      <c r="B172" s="1" t="n">
        <v>46105</v>
      </c>
      <c r="C172" s="1" t="n">
        <v>46183</v>
      </c>
      <c r="D172" t="inlineStr">
        <is>
          <t>VÄSTMANLANDS LÄN</t>
        </is>
      </c>
      <c r="E172" t="inlineStr">
        <is>
          <t>NORBERG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15265-2026</t>
        </is>
      </c>
      <c r="B173" s="1" t="n">
        <v>46105.59484953704</v>
      </c>
      <c r="C173" s="1" t="n">
        <v>46183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21504-2026</t>
        </is>
      </c>
      <c r="B174" s="1" t="n">
        <v>46148.58275462963</v>
      </c>
      <c r="C174" s="1" t="n">
        <v>46183</v>
      </c>
      <c r="D174" t="inlineStr">
        <is>
          <t>VÄSTMANLANDS LÄN</t>
        </is>
      </c>
      <c r="E174" t="inlineStr">
        <is>
          <t>NORBERG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21526-2026</t>
        </is>
      </c>
      <c r="B175" s="1" t="n">
        <v>46148.61817129629</v>
      </c>
      <c r="C175" s="1" t="n">
        <v>46183</v>
      </c>
      <c r="D175" t="inlineStr">
        <is>
          <t>VÄSTMANLANDS LÄN</t>
        </is>
      </c>
      <c r="E175" t="inlineStr">
        <is>
          <t>NORBERG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21984-2026</t>
        </is>
      </c>
      <c r="B176" s="1" t="n">
        <v>46153.32869212963</v>
      </c>
      <c r="C176" s="1" t="n">
        <v>46183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21973-2026</t>
        </is>
      </c>
      <c r="B177" s="1" t="n">
        <v>46153.30887731481</v>
      </c>
      <c r="C177" s="1" t="n">
        <v>46183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22092-2026</t>
        </is>
      </c>
      <c r="B178" s="1" t="n">
        <v>46149</v>
      </c>
      <c r="C178" s="1" t="n">
        <v>46183</v>
      </c>
      <c r="D178" t="inlineStr">
        <is>
          <t>VÄSTMANLANDS LÄN</t>
        </is>
      </c>
      <c r="E178" t="inlineStr">
        <is>
          <t>NORBERG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21976-2026</t>
        </is>
      </c>
      <c r="B179" s="1" t="n">
        <v>46153.31489583333</v>
      </c>
      <c r="C179" s="1" t="n">
        <v>46183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21983-2026</t>
        </is>
      </c>
      <c r="B180" s="1" t="n">
        <v>46153.32525462963</v>
      </c>
      <c r="C180" s="1" t="n">
        <v>46183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15981-2026</t>
        </is>
      </c>
      <c r="B181" s="1" t="n">
        <v>46108.36178240741</v>
      </c>
      <c r="C181" s="1" t="n">
        <v>46183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21987-2026</t>
        </is>
      </c>
      <c r="B182" s="1" t="n">
        <v>46153.33177083333</v>
      </c>
      <c r="C182" s="1" t="n">
        <v>46183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21990-2026</t>
        </is>
      </c>
      <c r="B183" s="1" t="n">
        <v>46153.33515046296</v>
      </c>
      <c r="C183" s="1" t="n">
        <v>46183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16383-2026</t>
        </is>
      </c>
      <c r="B184" s="1" t="n">
        <v>46111.62423611111</v>
      </c>
      <c r="C184" s="1" t="n">
        <v>46183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16897-2026</t>
        </is>
      </c>
      <c r="B185" s="1" t="n">
        <v>46113.62649305556</v>
      </c>
      <c r="C185" s="1" t="n">
        <v>46183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17063-2026</t>
        </is>
      </c>
      <c r="B186" s="1" t="n">
        <v>46114.51755787037</v>
      </c>
      <c r="C186" s="1" t="n">
        <v>46183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17318-2026</t>
        </is>
      </c>
      <c r="B187" s="1" t="n">
        <v>46119.59925925926</v>
      </c>
      <c r="C187" s="1" t="n">
        <v>46183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25331-2026</t>
        </is>
      </c>
      <c r="B188" s="1" t="n">
        <v>46176.55976851852</v>
      </c>
      <c r="C188" s="1" t="n">
        <v>46183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26072-2023</t>
        </is>
      </c>
      <c r="B189" s="1" t="n">
        <v>45091.36854166666</v>
      </c>
      <c r="C189" s="1" t="n">
        <v>46183</v>
      </c>
      <c r="D189" t="inlineStr">
        <is>
          <t>VÄSTMANLANDS LÄN</t>
        </is>
      </c>
      <c r="E189" t="inlineStr">
        <is>
          <t>NORBERG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2026-06-10T09:24:23Z</dcterms:created>
  <dcterms:modified xmlns:dcterms="http://purl.org/dc/terms/" xmlns:xsi="http://www.w3.org/2001/XMLSchema-instance" xsi:type="dcterms:W3CDTF">2026-06-10T09:24:23Z</dcterms:modified>
</cp:coreProperties>
</file>