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46292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46292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46292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46292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46292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46292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46292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46292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46292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46292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46292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46292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20407-2026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46139</v>
      </c>
      <c r="E17" s="1" t="n">
        <v>46292</v>
      </c>
      <c r="F17" t="inlineStr">
        <is>
          <t>VÄSTMANLANDS LÄN</t>
        </is>
      </c>
      <c r="G17" t="inlineStr">
        <is>
          <t>NORBERG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HYPERLINK("https://klasma.github.io/Logging_1962/artfynd/A 20407-2026 artfynd.xlsx", "A 20407-2026")</f>
        <v/>
      </c>
      <c r="X17">
        <f>HYPERLINK("https://klasma.github.io/Logging_1962/kartor/A 20407-2026 karta.png", "A 20407-2026")</f>
        <v/>
      </c>
      <c r="Y17">
        <f>HYPERLINK("https://klasma.github.io/Logging_1962/kartor_geotiff/A 20407-2026 georefererad karta.tif", "A 20407-2026")</f>
        <v/>
      </c>
      <c r="AA17">
        <f>HYPERLINK("https://klasma.github.io/Logging_1962/klagomål/A 20407-2026 FSC-klagomål.docx", "A 20407-2026")</f>
        <v/>
      </c>
      <c r="AB17">
        <f>HYPERLINK("https://klasma.github.io/Logging_1962/klagomålsmail/A 20407-2026 FSC-klagomål mail.docx", "A 20407-2026")</f>
        <v/>
      </c>
      <c r="AC17">
        <f>HYPERLINK("https://klasma.github.io/Logging_1962/tillsyn/A 20407-2026 tillsynsbegäran.docx", "A 20407-2026")</f>
        <v/>
      </c>
      <c r="AD17">
        <f>HYPERLINK("https://klasma.github.io/Logging_1962/tillsynsmail/A 20407-2026 tillsynsbegäran mail.docx", "A 20407-2026")</f>
        <v/>
      </c>
      <c r="AE17">
        <f>HYPERLINK("https://klasma.github.io/Logging_1962/fåglar/A 20407-2026 prioriterade fågelarter.docx", "A 20407-2026")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46292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46292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46292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38017-2025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45882</v>
      </c>
      <c r="E21" s="1" t="n">
        <v>46292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15.5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HYPERLINK("https://klasma.github.io/Logging_1962/artfynd/A 38017-2025 artfynd.xlsx", "A 38017-2025")</f>
        <v/>
      </c>
      <c r="X21">
        <f>HYPERLINK("https://klasma.github.io/Logging_1962/kartor/A 38017-2025 karta.png", "A 38017-2025")</f>
        <v/>
      </c>
      <c r="Y21">
        <f>HYPERLINK("https://klasma.github.io/Logging_1962/kartor_geotiff/A 38017-2025 georefererad karta.tif", "A 38017-2025")</f>
        <v/>
      </c>
      <c r="AA21">
        <f>HYPERLINK("https://klasma.github.io/Logging_1962/klagomål/A 38017-2025 FSC-klagomål.docx", "A 38017-2025")</f>
        <v/>
      </c>
      <c r="AB21">
        <f>HYPERLINK("https://klasma.github.io/Logging_1962/klagomålsmail/A 38017-2025 FSC-klagomål mail.docx", "A 38017-2025")</f>
        <v/>
      </c>
      <c r="AC21">
        <f>HYPERLINK("https://klasma.github.io/Logging_1962/tillsyn/A 38017-2025 tillsynsbegäran.docx", "A 38017-2025")</f>
        <v/>
      </c>
      <c r="AD21">
        <f>HYPERLINK("https://klasma.github.io/Logging_1962/tillsynsmail/A 38017-2025 tillsynsbegäran mail.docx", "A 38017-2025")</f>
        <v/>
      </c>
    </row>
    <row r="22" ht="15" customHeight="1">
      <c r="A22" t="inlineStr">
        <is>
          <t>A 15107-2025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46292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15107-2025 artfynd.xlsx", "A 15107-2025")</f>
        <v/>
      </c>
      <c r="X22">
        <f>HYPERLINK("https://klasma.github.io/Logging_1962/kartor/A 15107-2025 karta.png", "A 15107-2025")</f>
        <v/>
      </c>
      <c r="Y22">
        <f>HYPERLINK("https://klasma.github.io/Logging_1962/kartor_geotiff/A 15107-2025 georefererad karta.tif", "A 15107-2025")</f>
        <v/>
      </c>
      <c r="AA22">
        <f>HYPERLINK("https://klasma.github.io/Logging_1962/klagomål/A 15107-2025 FSC-klagomål.docx", "A 15107-2025")</f>
        <v/>
      </c>
      <c r="AB22">
        <f>HYPERLINK("https://klasma.github.io/Logging_1962/klagomålsmail/A 15107-2025 FSC-klagomål mail.docx", "A 15107-2025")</f>
        <v/>
      </c>
      <c r="AC22">
        <f>HYPERLINK("https://klasma.github.io/Logging_1962/tillsyn/A 15107-2025 tillsynsbegäran.docx", "A 15107-2025")</f>
        <v/>
      </c>
      <c r="AD22">
        <f>HYPERLINK("https://klasma.github.io/Logging_1962/tillsynsmail/A 15107-2025 tillsynsbegäran mail.docx", "A 15107-2025")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46292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46292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46292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61099-2024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46292</v>
      </c>
      <c r="F27" t="inlineStr">
        <is>
          <t>VÄSTMANLANDS LÄN</t>
        </is>
      </c>
      <c r="G27" t="inlineStr">
        <is>
          <t>NORBERG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HYPERLINK("https://klasma.github.io/Logging_1962/artfynd/A 61099-2024 artfynd.xlsx", "A 61099-2024")</f>
        <v/>
      </c>
      <c r="X27">
        <f>HYPERLINK("https://klasma.github.io/Logging_1962/kartor/A 61099-2024 karta.png", "A 61099-2024")</f>
        <v/>
      </c>
      <c r="Y27">
        <f>HYPERLINK("https://klasma.github.io/Logging_1962/kartor_geotiff/A 61099-2024 georefererad karta.tif", "A 61099-2024")</f>
        <v/>
      </c>
      <c r="AA27">
        <f>HYPERLINK("https://klasma.github.io/Logging_1962/klagomål/A 61099-2024 FSC-klagomål.docx", "A 61099-2024")</f>
        <v/>
      </c>
      <c r="AB27">
        <f>HYPERLINK("https://klasma.github.io/Logging_1962/klagomålsmail/A 61099-2024 FSC-klagomål mail.docx", "A 61099-2024")</f>
        <v/>
      </c>
      <c r="AC27">
        <f>HYPERLINK("https://klasma.github.io/Logging_1962/tillsyn/A 61099-2024 tillsynsbegäran.docx", "A 61099-2024")</f>
        <v/>
      </c>
      <c r="AD27">
        <f>HYPERLINK("https://klasma.github.io/Logging_1962/tillsynsmail/A 61099-2024 tillsynsbegäran mail.docx", "A 61099-2024")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46292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46292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46292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46292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46292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46292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46292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46292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46292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46292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46292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46292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46292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46292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46292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46292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46292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46292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46292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46014</v>
      </c>
      <c r="E50" s="1" t="n">
        <v>46292</v>
      </c>
      <c r="F50" t="inlineStr">
        <is>
          <t>VÄSTMANLANDS LÄN</t>
        </is>
      </c>
      <c r="G50" t="inlineStr">
        <is>
          <t>NORBERG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45320</v>
      </c>
      <c r="E51" s="1" t="n">
        <v>46292</v>
      </c>
      <c r="F51" t="inlineStr">
        <is>
          <t>VÄSTMANLANDS LÄN</t>
        </is>
      </c>
      <c r="G51" t="inlineStr">
        <is>
          <t>NORBERG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46020</v>
      </c>
      <c r="E52" s="1" t="n">
        <v>46292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46292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45274</v>
      </c>
      <c r="E54" s="1" t="n">
        <v>46292</v>
      </c>
      <c r="F54" t="inlineStr">
        <is>
          <t>VÄSTMANLANDS LÄN</t>
        </is>
      </c>
      <c r="G54" t="inlineStr">
        <is>
          <t>NORBERG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46292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46292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46292</v>
      </c>
      <c r="F57" t="inlineStr">
        <is>
          <t>VÄSTMANLANDS LÄN</t>
        </is>
      </c>
      <c r="G57" t="inlineStr">
        <is>
          <t>NORBERG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46292</v>
      </c>
      <c r="F58" t="inlineStr">
        <is>
          <t>VÄSTMANLANDS LÄN</t>
        </is>
      </c>
      <c r="G58" t="inlineStr">
        <is>
          <t>NORBERG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46292</v>
      </c>
      <c r="F59" t="inlineStr">
        <is>
          <t>VÄSTMANLANDS LÄN</t>
        </is>
      </c>
      <c r="G59" t="inlineStr">
        <is>
          <t>NORBERG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20378-2023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45056</v>
      </c>
      <c r="E60" s="1" t="n">
        <v>46292</v>
      </c>
      <c r="F60" t="inlineStr">
        <is>
          <t>VÄSTMANLANDS LÄN</t>
        </is>
      </c>
      <c r="G60" t="inlineStr">
        <is>
          <t>NORBERG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45408</v>
      </c>
      <c r="E61" s="1" t="n">
        <v>46292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8.800000000000001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46292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60339-2025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45994</v>
      </c>
      <c r="E63" s="1" t="n">
        <v>46292</v>
      </c>
      <c r="F63" t="inlineStr">
        <is>
          <t>VÄSTMANLANDS LÄN</t>
        </is>
      </c>
      <c r="G63" t="inlineStr">
        <is>
          <t>NORBERG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45405</v>
      </c>
      <c r="E64" s="1" t="n">
        <v>46292</v>
      </c>
      <c r="F64" t="inlineStr">
        <is>
          <t>VÄSTMANLANDS LÄN</t>
        </is>
      </c>
      <c r="G64" t="inlineStr">
        <is>
          <t>NORBERG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46292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7744-2023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46292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49001-2025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46292</v>
      </c>
      <c r="F67" t="inlineStr">
        <is>
          <t>VÄSTMANLANDS LÄN</t>
        </is>
      </c>
      <c r="G67" t="inlineStr">
        <is>
          <t>NORBERG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46292</v>
      </c>
      <c r="F68" t="inlineStr">
        <is>
          <t>VÄSTMANLANDS LÄN</t>
        </is>
      </c>
      <c r="G68" t="inlineStr">
        <is>
          <t>NORBERG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46292</v>
      </c>
      <c r="F69" t="inlineStr">
        <is>
          <t>VÄSTMANLANDS LÄN</t>
        </is>
      </c>
      <c r="G69" t="inlineStr">
        <is>
          <t>NORBERG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46292</v>
      </c>
      <c r="F70" t="inlineStr">
        <is>
          <t>VÄSTMANLANDS LÄN</t>
        </is>
      </c>
      <c r="G70" t="inlineStr">
        <is>
          <t>NORBERG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46292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46292</v>
      </c>
      <c r="F72" t="inlineStr">
        <is>
          <t>VÄSTMANLANDS LÄN</t>
        </is>
      </c>
      <c r="G72" t="inlineStr">
        <is>
          <t>NORBERG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46292</v>
      </c>
      <c r="F73" t="inlineStr">
        <is>
          <t>VÄSTMANLANDS LÄN</t>
        </is>
      </c>
      <c r="G73" t="inlineStr">
        <is>
          <t>NORBERG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46292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45613</v>
      </c>
      <c r="E75" s="1" t="n">
        <v>46292</v>
      </c>
      <c r="F75" t="inlineStr">
        <is>
          <t>VÄSTMANLANDS LÄN</t>
        </is>
      </c>
      <c r="G75" t="inlineStr">
        <is>
          <t>NORBERG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46292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45607</v>
      </c>
      <c r="E77" s="1" t="n">
        <v>46292</v>
      </c>
      <c r="F77" t="inlineStr">
        <is>
          <t>VÄSTMANLANDS LÄN</t>
        </is>
      </c>
      <c r="G77" t="inlineStr">
        <is>
          <t>NORBERG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46292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46292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46113</v>
      </c>
      <c r="E80" s="1" t="n">
        <v>46292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17063-2026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46292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46292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46292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46292</v>
      </c>
      <c r="F84" t="inlineStr">
        <is>
          <t>VÄSTMANLANDS LÄN</t>
        </is>
      </c>
      <c r="G84" t="inlineStr">
        <is>
          <t>NORBERG</t>
        </is>
      </c>
      <c r="H84" t="inlineStr">
        <is>
          <t>Övriga Aktiebolag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46292</v>
      </c>
      <c r="F85" t="inlineStr">
        <is>
          <t>VÄSTMANLANDS LÄN</t>
        </is>
      </c>
      <c r="G85" t="inlineStr">
        <is>
          <t>NORBERG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46292</v>
      </c>
      <c r="F86" t="inlineStr">
        <is>
          <t>VÄSTMANLANDS LÄN</t>
        </is>
      </c>
      <c r="G86" t="inlineStr">
        <is>
          <t>NORBERG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46292</v>
      </c>
      <c r="F87" t="inlineStr">
        <is>
          <t>VÄSTMANLANDS LÄN</t>
        </is>
      </c>
      <c r="G87" t="inlineStr">
        <is>
          <t>NORBERG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46292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45705</v>
      </c>
      <c r="E89" s="1" t="n">
        <v>46292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56940-2021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44480</v>
      </c>
      <c r="E90" s="1" t="n">
        <v>46292</v>
      </c>
      <c r="F90" t="inlineStr">
        <is>
          <t>VÄSTMANLANDS LÄN</t>
        </is>
      </c>
      <c r="G90" t="inlineStr">
        <is>
          <t>NORBERG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73797-2021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44552</v>
      </c>
      <c r="E91" s="1" t="n">
        <v>46292</v>
      </c>
      <c r="F91" t="inlineStr">
        <is>
          <t>VÄSTMANLANDS LÄN</t>
        </is>
      </c>
      <c r="G91" t="inlineStr">
        <is>
          <t>NORBERG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46292</v>
      </c>
      <c r="F92" t="inlineStr">
        <is>
          <t>VÄSTMANLANDS LÄN</t>
        </is>
      </c>
      <c r="G92" t="inlineStr">
        <is>
          <t>NORBERG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46292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46292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46292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46292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45598</v>
      </c>
      <c r="E97" s="1" t="n">
        <v>46292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46292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45200</v>
      </c>
      <c r="E99" s="1" t="n">
        <v>46292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46292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46292</v>
      </c>
      <c r="F101" t="inlineStr">
        <is>
          <t>VÄSTMANLANDS LÄN</t>
        </is>
      </c>
      <c r="G101" t="inlineStr">
        <is>
          <t>NORBERG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46292</v>
      </c>
      <c r="F102" t="inlineStr">
        <is>
          <t>VÄSTMANLANDS LÄN</t>
        </is>
      </c>
      <c r="G102" t="inlineStr">
        <is>
          <t>NORBERG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20968-2026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46142</v>
      </c>
      <c r="E103" s="1" t="n">
        <v>46292</v>
      </c>
      <c r="F103" t="inlineStr">
        <is>
          <t>VÄSTMANLANDS LÄN</t>
        </is>
      </c>
      <c r="G103" t="inlineStr">
        <is>
          <t>NORBERG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46292</v>
      </c>
      <c r="F104" t="inlineStr">
        <is>
          <t>VÄSTMANLANDS LÄN</t>
        </is>
      </c>
      <c r="G104" t="inlineStr">
        <is>
          <t>NORBERG</t>
        </is>
      </c>
      <c r="H104" t="inlineStr">
        <is>
          <t>Övriga Aktiebolag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46292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46292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46292</v>
      </c>
      <c r="F107" t="inlineStr">
        <is>
          <t>VÄSTMANLANDS LÄN</t>
        </is>
      </c>
      <c r="G107" t="inlineStr">
        <is>
          <t>NORBERG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46292</v>
      </c>
      <c r="F108" t="inlineStr">
        <is>
          <t>VÄSTMANLANDS LÄN</t>
        </is>
      </c>
      <c r="G108" t="inlineStr">
        <is>
          <t>NORBERG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46292</v>
      </c>
      <c r="F109" t="inlineStr">
        <is>
          <t>VÄSTMANLANDS LÄN</t>
        </is>
      </c>
      <c r="G109" t="inlineStr">
        <is>
          <t>NORBERG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46292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46292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36443-2024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46292</v>
      </c>
      <c r="F112" t="inlineStr">
        <is>
          <t>VÄSTMANLANDS LÄN</t>
        </is>
      </c>
      <c r="G112" t="inlineStr">
        <is>
          <t>NORBERG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56400-2025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45974</v>
      </c>
      <c r="E113" s="1" t="n">
        <v>46292</v>
      </c>
      <c r="F113" t="inlineStr">
        <is>
          <t>VÄSTMANLANDS LÄN</t>
        </is>
      </c>
      <c r="G113" t="inlineStr">
        <is>
          <t>NORBERG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46292</v>
      </c>
      <c r="F114" t="inlineStr">
        <is>
          <t>VÄSTMANLANDS LÄN</t>
        </is>
      </c>
      <c r="G114" t="inlineStr">
        <is>
          <t>NORBERG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46292</v>
      </c>
      <c r="F115" t="inlineStr">
        <is>
          <t>VÄSTMANLANDS LÄN</t>
        </is>
      </c>
      <c r="G115" t="inlineStr">
        <is>
          <t>NORBERG</t>
        </is>
      </c>
      <c r="H115" t="inlineStr">
        <is>
          <t>Bergvik skog väst AB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46292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46292</v>
      </c>
      <c r="F117" t="inlineStr">
        <is>
          <t>VÄSTMANLANDS LÄN</t>
        </is>
      </c>
      <c r="G117" t="inlineStr">
        <is>
          <t>NORBERG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46292</v>
      </c>
      <c r="F118" t="inlineStr">
        <is>
          <t>VÄSTMANLANDS LÄN</t>
        </is>
      </c>
      <c r="G118" t="inlineStr">
        <is>
          <t>NORBERG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46292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46292</v>
      </c>
      <c r="F120" t="inlineStr">
        <is>
          <t>VÄSTMANLANDS LÄN</t>
        </is>
      </c>
      <c r="G120" t="inlineStr">
        <is>
          <t>NORBERG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45028</v>
      </c>
      <c r="E121" s="1" t="n">
        <v>46292</v>
      </c>
      <c r="F121" t="inlineStr">
        <is>
          <t>VÄSTMANLANDS LÄN</t>
        </is>
      </c>
      <c r="G121" t="inlineStr">
        <is>
          <t>NORBERG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46292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46189</v>
      </c>
      <c r="E123" s="1" t="n">
        <v>46292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46292</v>
      </c>
      <c r="F124" t="inlineStr">
        <is>
          <t>VÄSTMANLANDS LÄN</t>
        </is>
      </c>
      <c r="G124" t="inlineStr">
        <is>
          <t>NORBERG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46292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46190</v>
      </c>
      <c r="E126" s="1" t="n">
        <v>46292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46292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46292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15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46292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45121</v>
      </c>
      <c r="E130" s="1" t="n">
        <v>46292</v>
      </c>
      <c r="F130" t="inlineStr">
        <is>
          <t>VÄSTMANLANDS LÄN</t>
        </is>
      </c>
      <c r="G130" t="inlineStr">
        <is>
          <t>NORBERG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46292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46292</v>
      </c>
      <c r="F132" t="inlineStr">
        <is>
          <t>VÄSTMANLANDS LÄN</t>
        </is>
      </c>
      <c r="G132" t="inlineStr">
        <is>
          <t>NORBERG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46292</v>
      </c>
      <c r="F133" t="inlineStr">
        <is>
          <t>VÄSTMANLANDS LÄN</t>
        </is>
      </c>
      <c r="G133" t="inlineStr">
        <is>
          <t>NORBERG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46292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46258</v>
      </c>
      <c r="E135" s="1" t="n">
        <v>46292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46292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46292</v>
      </c>
      <c r="F137" t="inlineStr">
        <is>
          <t>VÄSTMANLANDS LÄN</t>
        </is>
      </c>
      <c r="G137" t="inlineStr">
        <is>
          <t>NORBERG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46292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46292</v>
      </c>
      <c r="F139" t="inlineStr">
        <is>
          <t>VÄSTMANLANDS LÄN</t>
        </is>
      </c>
      <c r="G139" t="inlineStr">
        <is>
          <t>NORBERG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46292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45155</v>
      </c>
      <c r="E141" s="1" t="n">
        <v>46292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46292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46223</v>
      </c>
      <c r="E143" s="1" t="n">
        <v>46292</v>
      </c>
      <c r="F143" t="inlineStr">
        <is>
          <t>VÄSTMANLANDS LÄN</t>
        </is>
      </c>
      <c r="G143" t="inlineStr">
        <is>
          <t>NORBERG</t>
        </is>
      </c>
      <c r="I143" t="n">
        <v>9.800000000000001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46292</v>
      </c>
      <c r="F144" t="inlineStr">
        <is>
          <t>VÄSTMANLANDS LÄN</t>
        </is>
      </c>
      <c r="G144" t="inlineStr">
        <is>
          <t>NORBERG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46265</v>
      </c>
      <c r="E145" s="1" t="n">
        <v>46292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46292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46292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46292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46292</v>
      </c>
      <c r="F149" t="inlineStr">
        <is>
          <t>VÄSTMANLANDS LÄN</t>
        </is>
      </c>
      <c r="G149" t="inlineStr">
        <is>
          <t>NORBERG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46292</v>
      </c>
      <c r="F150" t="inlineStr">
        <is>
          <t>VÄSTMANLANDS LÄN</t>
        </is>
      </c>
      <c r="G150" t="inlineStr">
        <is>
          <t>NORBERG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46292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46292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34232-2026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46253</v>
      </c>
      <c r="E153" s="1" t="n">
        <v>46292</v>
      </c>
      <c r="F153" t="inlineStr">
        <is>
          <t>VÄSTMANLANDS LÄN</t>
        </is>
      </c>
      <c r="G153" t="inlineStr">
        <is>
          <t>NORBERG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46292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46292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46292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46292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63505-2023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45274</v>
      </c>
      <c r="E158" s="1" t="n">
        <v>46292</v>
      </c>
      <c r="F158" t="inlineStr">
        <is>
          <t>VÄSTMANLANDS LÄN</t>
        </is>
      </c>
      <c r="G158" t="inlineStr">
        <is>
          <t>NORBERG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32385-2026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46238</v>
      </c>
      <c r="E159" s="1" t="n">
        <v>46292</v>
      </c>
      <c r="F159" t="inlineStr">
        <is>
          <t>VÄSTMANLANDS LÄN</t>
        </is>
      </c>
      <c r="G159" t="inlineStr">
        <is>
          <t>NORBERG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46292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46292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46292</v>
      </c>
      <c r="F162" t="inlineStr">
        <is>
          <t>VÄSTMANLANDS LÄN</t>
        </is>
      </c>
      <c r="G162" t="inlineStr">
        <is>
          <t>NORBERG</t>
        </is>
      </c>
      <c r="I162" t="n">
        <v>22.4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46292</v>
      </c>
      <c r="F163" t="inlineStr">
        <is>
          <t>VÄSTMANLANDS LÄN</t>
        </is>
      </c>
      <c r="G163" t="inlineStr">
        <is>
          <t>NORBERG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46292</v>
      </c>
      <c r="F164" t="inlineStr">
        <is>
          <t>VÄSTMANLANDS LÄN</t>
        </is>
      </c>
      <c r="G164" t="inlineStr">
        <is>
          <t>NORBERG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46266</v>
      </c>
      <c r="E165" s="1" t="n">
        <v>46292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45607</v>
      </c>
      <c r="E166" s="1" t="n">
        <v>46292</v>
      </c>
      <c r="F166" t="inlineStr">
        <is>
          <t>VÄSTMANLANDS LÄN</t>
        </is>
      </c>
      <c r="G166" t="inlineStr">
        <is>
          <t>NORBERG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45200</v>
      </c>
      <c r="E167" s="1" t="n">
        <v>46292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46292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46292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45056</v>
      </c>
      <c r="E170" s="1" t="n">
        <v>46292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46292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45454</v>
      </c>
      <c r="E172" s="1" t="n">
        <v>46292</v>
      </c>
      <c r="F172" t="inlineStr">
        <is>
          <t>VÄSTMANLANDS LÄN</t>
        </is>
      </c>
      <c r="G172" t="inlineStr">
        <is>
          <t>NORBERG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45454</v>
      </c>
      <c r="E173" s="1" t="n">
        <v>46292</v>
      </c>
      <c r="F173" t="inlineStr">
        <is>
          <t>VÄSTMANLANDS LÄN</t>
        </is>
      </c>
      <c r="G173" t="inlineStr">
        <is>
          <t>NORBERG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46292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46292</v>
      </c>
      <c r="F175" t="inlineStr">
        <is>
          <t>VÄSTMANLANDS LÄN</t>
        </is>
      </c>
      <c r="G175" t="inlineStr">
        <is>
          <t>NORBERG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45179</v>
      </c>
      <c r="E176" s="1" t="n">
        <v>46292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46292</v>
      </c>
      <c r="F177" t="inlineStr">
        <is>
          <t>VÄSTMANLANDS LÄN</t>
        </is>
      </c>
      <c r="G177" t="inlineStr">
        <is>
          <t>NORBERG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19377-2025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45769</v>
      </c>
      <c r="E178" s="1" t="n">
        <v>46292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46292</v>
      </c>
      <c r="F179" t="inlineStr">
        <is>
          <t>VÄSTMANLANDS LÄN</t>
        </is>
      </c>
      <c r="G179" t="inlineStr">
        <is>
          <t>NORBERG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46292</v>
      </c>
      <c r="F180" t="inlineStr">
        <is>
          <t>VÄSTMANLANDS LÄN</t>
        </is>
      </c>
      <c r="G180" t="inlineStr">
        <is>
          <t>NORBERG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46292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44691</v>
      </c>
      <c r="E182" s="1" t="n">
        <v>46292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46292</v>
      </c>
      <c r="F183" t="inlineStr">
        <is>
          <t>VÄSTMANLANDS LÄN</t>
        </is>
      </c>
      <c r="G183" t="inlineStr">
        <is>
          <t>NORBERG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46292</v>
      </c>
      <c r="F184" t="inlineStr">
        <is>
          <t>VÄSTMANLANDS LÄN</t>
        </is>
      </c>
      <c r="G184" t="inlineStr">
        <is>
          <t>NORBERG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46292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46292</v>
      </c>
      <c r="F186" t="inlineStr">
        <is>
          <t>VÄSTMANLANDS LÄN</t>
        </is>
      </c>
      <c r="G186" t="inlineStr">
        <is>
          <t>NORBERG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46292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45196</v>
      </c>
      <c r="E188" s="1" t="n">
        <v>46292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46292</v>
      </c>
      <c r="F189" t="inlineStr">
        <is>
          <t>VÄSTMANLANDS LÄN</t>
        </is>
      </c>
      <c r="G189" t="inlineStr">
        <is>
          <t>NORBERG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46292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46292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46292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46292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46292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2026-09-27T01:59:23Z</dcterms:created>
  <dcterms:modified xmlns:dcterms="http://purl.org/dc/terms/" xmlns:xsi="http://www.w3.org/2001/XMLSchema-instance" xsi:type="dcterms:W3CDTF">2026-09-27T01:59:24Z</dcterms:modified>
</cp:coreProperties>
</file>