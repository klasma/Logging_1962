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46318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46318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46318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46318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63777-2025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46019</v>
      </c>
      <c r="E7" s="1" t="n">
        <v>46318</v>
      </c>
      <c r="F7" t="inlineStr">
        <is>
          <t>VÄSTMANLANDS LÄN</t>
        </is>
      </c>
      <c r="G7" t="inlineStr">
        <is>
          <t>NORBERG</t>
        </is>
      </c>
      <c r="I7" t="n">
        <v>3.4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8</v>
      </c>
      <c r="U7" t="n">
        <v>8</v>
      </c>
      <c r="V7" s="2" t="inlineStr">
        <is>
          <t>Spillkråka
Fläcknycklar</t>
        </is>
      </c>
      <c r="W7">
        <f>HYPERLINK("https://klasma.github.io/Logging_1962/artfynd/A 63777-2025 artfynd.xlsx", "A 63777-2025")</f>
        <v/>
      </c>
      <c r="X7">
        <f>HYPERLINK("https://klasma.github.io/Logging_1962/kartor/A 63777-2025 karta.png", "A 63777-2025")</f>
        <v/>
      </c>
      <c r="Y7">
        <f>HYPERLINK("https://klasma.github.io/Logging_1962/kartor_geotiff/A 63777-2025 georefererad karta.tif", "A 63777-2025")</f>
        <v/>
      </c>
      <c r="AA7">
        <f>HYPERLINK("https://klasma.github.io/Logging_1962/klagomål/A 63777-2025 FSC-klagomål.docx", "A 63777-2025")</f>
        <v/>
      </c>
      <c r="AB7">
        <f>HYPERLINK("https://klasma.github.io/Logging_1962/klagomålsmail/A 63777-2025 FSC-klagomål mail.docx", "A 63777-2025")</f>
        <v/>
      </c>
      <c r="AC7">
        <f>HYPERLINK("https://klasma.github.io/Logging_1962/tillsyn/A 63777-2025 tillsynsbegäran.docx", "A 63777-2025")</f>
        <v/>
      </c>
      <c r="AD7">
        <f>HYPERLINK("https://klasma.github.io/Logging_1962/tillsynsmail/A 63777-2025 tillsynsbegäran mail.docx", "A 63777-2025")</f>
        <v/>
      </c>
      <c r="AE7">
        <f>HYPERLINK("https://klasma.github.io/Logging_1962/fåglar/A 63777-2025 prioriterade fågelarter.docx", "A 63777-2025")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46318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55711-2024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45622</v>
      </c>
      <c r="E9" s="1" t="n">
        <v>46318</v>
      </c>
      <c r="F9" t="inlineStr">
        <is>
          <t>VÄSTMANLANDS LÄN</t>
        </is>
      </c>
      <c r="G9" t="inlineStr">
        <is>
          <t>NORBERG</t>
        </is>
      </c>
      <c r="I9" t="n">
        <v>2.5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Persiljespindling
Skogsknipprot</t>
        </is>
      </c>
      <c r="W9">
        <f>HYPERLINK("https://klasma.github.io/Logging_1962/artfynd/A 55711-2024 artfynd.xlsx", "A 55711-2024")</f>
        <v/>
      </c>
      <c r="X9">
        <f>HYPERLINK("https://klasma.github.io/Logging_1962/kartor/A 55711-2024 karta.png", "A 55711-2024")</f>
        <v/>
      </c>
      <c r="Y9">
        <f>HYPERLINK("https://klasma.github.io/Logging_1962/kartor_geotiff/A 55711-2024 georefererad karta.tif", "A 55711-2024")</f>
        <v/>
      </c>
      <c r="AA9">
        <f>HYPERLINK("https://klasma.github.io/Logging_1962/klagomål/A 55711-2024 FSC-klagomål.docx", "A 55711-2024")</f>
        <v/>
      </c>
      <c r="AB9">
        <f>HYPERLINK("https://klasma.github.io/Logging_1962/klagomålsmail/A 55711-2024 FSC-klagomål mail.docx", "A 55711-2024")</f>
        <v/>
      </c>
      <c r="AC9">
        <f>HYPERLINK("https://klasma.github.io/Logging_1962/tillsyn/A 55711-2024 tillsynsbegäran.docx", "A 55711-2024")</f>
        <v/>
      </c>
      <c r="AD9">
        <f>HYPERLINK("https://klasma.github.io/Logging_1962/tillsynsmail/A 55711-2024 tillsynsbegäran mail.docx", "A 55711-2024")</f>
        <v/>
      </c>
    </row>
    <row r="10" ht="15" customHeight="1">
      <c r="A10" t="inlineStr">
        <is>
          <t>A 33377-2023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45128</v>
      </c>
      <c r="E10" s="1" t="n">
        <v>46318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1.7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Gul taggsvamp
Dofttaggsvamp</t>
        </is>
      </c>
      <c r="W10">
        <f>HYPERLINK("https://klasma.github.io/Logging_1962/artfynd/A 33377-2023 artfynd.xlsx", "A 33377-2023")</f>
        <v/>
      </c>
      <c r="X10">
        <f>HYPERLINK("https://klasma.github.io/Logging_1962/kartor/A 33377-2023 karta.png", "A 33377-2023")</f>
        <v/>
      </c>
      <c r="Y10">
        <f>HYPERLINK("https://klasma.github.io/Logging_1962/kartor_geotiff/A 33377-2023 georefererad karta.tif", "A 33377-2023")</f>
        <v/>
      </c>
      <c r="AA10">
        <f>HYPERLINK("https://klasma.github.io/Logging_1962/klagomål/A 33377-2023 FSC-klagomål.docx", "A 33377-2023")</f>
        <v/>
      </c>
      <c r="AB10">
        <f>HYPERLINK("https://klasma.github.io/Logging_1962/klagomålsmail/A 33377-2023 FSC-klagomål mail.docx", "A 33377-2023")</f>
        <v/>
      </c>
      <c r="AC10">
        <f>HYPERLINK("https://klasma.github.io/Logging_1962/tillsyn/A 33377-2023 tillsynsbegäran.docx", "A 33377-2023")</f>
        <v/>
      </c>
      <c r="AD10">
        <f>HYPERLINK("https://klasma.github.io/Logging_1962/tillsynsmail/A 33377-2023 tillsynsbegäran mail.docx", "A 33377-2023")</f>
        <v/>
      </c>
    </row>
    <row r="11" ht="15" customHeight="1">
      <c r="A11" t="inlineStr">
        <is>
          <t>A 15262-2026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46318</v>
      </c>
      <c r="F11" t="inlineStr">
        <is>
          <t>VÄSTMANLANDS LÄN</t>
        </is>
      </c>
      <c r="G11" t="inlineStr">
        <is>
          <t>NORBERG</t>
        </is>
      </c>
      <c r="I11" t="n">
        <v>2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Brunklöver
Tvåblad</t>
        </is>
      </c>
      <c r="W11">
        <f>HYPERLINK("https://klasma.github.io/Logging_1962/artfynd/A 15262-2026 artfynd.xlsx", "A 15262-2026")</f>
        <v/>
      </c>
      <c r="X11">
        <f>HYPERLINK("https://klasma.github.io/Logging_1962/kartor/A 15262-2026 karta.png", "A 15262-2026")</f>
        <v/>
      </c>
      <c r="Y11">
        <f>HYPERLINK("https://klasma.github.io/Logging_1962/kartor_geotiff/A 15262-2026 georefererad karta.tif", "A 15262-2026")</f>
        <v/>
      </c>
      <c r="AA11">
        <f>HYPERLINK("https://klasma.github.io/Logging_1962/klagomål/A 15262-2026 FSC-klagomål.docx", "A 15262-2026")</f>
        <v/>
      </c>
      <c r="AB11">
        <f>HYPERLINK("https://klasma.github.io/Logging_1962/klagomålsmail/A 15262-2026 FSC-klagomål mail.docx", "A 15262-2026")</f>
        <v/>
      </c>
      <c r="AC11">
        <f>HYPERLINK("https://klasma.github.io/Logging_1962/tillsyn/A 15262-2026 tillsynsbegäran.docx", "A 15262-2026")</f>
        <v/>
      </c>
      <c r="AD11">
        <f>HYPERLINK("https://klasma.github.io/Logging_1962/tillsynsmail/A 15262-2026 tillsynsbegäran mail.docx", "A 15262-2026")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46318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46318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46318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46318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46318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46318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46318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28307-2026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46196</v>
      </c>
      <c r="E19" s="1" t="n">
        <v>46318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Plattlummer</t>
        </is>
      </c>
      <c r="W19">
        <f>HYPERLINK("https://klasma.github.io/Logging_1962/artfynd/A 28307-2026 artfynd.xlsx", "A 28307-2026")</f>
        <v/>
      </c>
      <c r="X19">
        <f>HYPERLINK("https://klasma.github.io/Logging_1962/kartor/A 28307-2026 karta.png", "A 28307-2026")</f>
        <v/>
      </c>
      <c r="Y19">
        <f>HYPERLINK("https://klasma.github.io/Logging_1962/kartor_geotiff/A 28307-2026 georefererad karta.tif", "A 28307-2026")</f>
        <v/>
      </c>
      <c r="AA19">
        <f>HYPERLINK("https://klasma.github.io/Logging_1962/klagomål/A 28307-2026 FSC-klagomål.docx", "A 28307-2026")</f>
        <v/>
      </c>
      <c r="AB19">
        <f>HYPERLINK("https://klasma.github.io/Logging_1962/klagomålsmail/A 28307-2026 FSC-klagomål mail.docx", "A 28307-2026")</f>
        <v/>
      </c>
      <c r="AC19">
        <f>HYPERLINK("https://klasma.github.io/Logging_1962/tillsyn/A 28307-2026 tillsynsbegäran.docx", "A 28307-2026")</f>
        <v/>
      </c>
      <c r="AD19">
        <f>HYPERLINK("https://klasma.github.io/Logging_1962/tillsynsmail/A 28307-2026 tillsynsbegäran mail.docx", "A 28307-2026")</f>
        <v/>
      </c>
    </row>
    <row r="20" ht="15" customHeight="1">
      <c r="A20" t="inlineStr">
        <is>
          <t>A 36383-2026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46268</v>
      </c>
      <c r="E20" s="1" t="n">
        <v>46318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8.300000000000001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Plattlummer</t>
        </is>
      </c>
      <c r="W20">
        <f>HYPERLINK("https://klasma.github.io/Logging_1962/artfynd/A 36383-2026 artfynd.xlsx", "A 36383-2026")</f>
        <v/>
      </c>
      <c r="X20">
        <f>HYPERLINK("https://klasma.github.io/Logging_1962/kartor/A 36383-2026 karta.png", "A 36383-2026")</f>
        <v/>
      </c>
      <c r="Y20">
        <f>HYPERLINK("https://klasma.github.io/Logging_1962/kartor_geotiff/A 36383-2026 georefererad karta.tif", "A 36383-2026")</f>
        <v/>
      </c>
      <c r="AA20">
        <f>HYPERLINK("https://klasma.github.io/Logging_1962/klagomål/A 36383-2026 FSC-klagomål.docx", "A 36383-2026")</f>
        <v/>
      </c>
      <c r="AB20">
        <f>HYPERLINK("https://klasma.github.io/Logging_1962/klagomålsmail/A 36383-2026 FSC-klagomål mail.docx", "A 36383-2026")</f>
        <v/>
      </c>
      <c r="AC20">
        <f>HYPERLINK("https://klasma.github.io/Logging_1962/tillsyn/A 36383-2026 tillsynsbegäran.docx", "A 36383-2026")</f>
        <v/>
      </c>
      <c r="AD20">
        <f>HYPERLINK("https://klasma.github.io/Logging_1962/tillsynsmail/A 36383-2026 tillsynsbegäran mail.docx", "A 36383-2026")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46318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61099-2024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46318</v>
      </c>
      <c r="F22" t="inlineStr">
        <is>
          <t>VÄSTMANLANDS LÄN</t>
        </is>
      </c>
      <c r="G22" t="inlineStr">
        <is>
          <t>NORBERG</t>
        </is>
      </c>
      <c r="I22" t="n">
        <v>0.4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61099-2024 artfynd.xlsx", "A 61099-2024")</f>
        <v/>
      </c>
      <c r="X22">
        <f>HYPERLINK("https://klasma.github.io/Logging_1962/kartor/A 61099-2024 karta.png", "A 61099-2024")</f>
        <v/>
      </c>
      <c r="Y22">
        <f>HYPERLINK("https://klasma.github.io/Logging_1962/kartor_geotiff/A 61099-2024 georefererad karta.tif", "A 61099-2024")</f>
        <v/>
      </c>
      <c r="AA22">
        <f>HYPERLINK("https://klasma.github.io/Logging_1962/klagomål/A 61099-2024 FSC-klagomål.docx", "A 61099-2024")</f>
        <v/>
      </c>
      <c r="AB22">
        <f>HYPERLINK("https://klasma.github.io/Logging_1962/klagomålsmail/A 61099-2024 FSC-klagomål mail.docx", "A 61099-2024")</f>
        <v/>
      </c>
      <c r="AC22">
        <f>HYPERLINK("https://klasma.github.io/Logging_1962/tillsyn/A 61099-2024 tillsynsbegäran.docx", "A 61099-2024")</f>
        <v/>
      </c>
      <c r="AD22">
        <f>HYPERLINK("https://klasma.github.io/Logging_1962/tillsynsmail/A 61099-2024 tillsynsbegäran mail.docx", "A 61099-2024")</f>
        <v/>
      </c>
    </row>
    <row r="23" ht="15" customHeight="1">
      <c r="A23" t="inlineStr">
        <is>
          <t>A 38927-2026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46318</v>
      </c>
      <c r="F23" t="inlineStr">
        <is>
          <t>VÄSTMANLANDS LÄN</t>
        </is>
      </c>
      <c r="G23" t="inlineStr">
        <is>
          <t>NORBERG</t>
        </is>
      </c>
      <c r="I23" t="n">
        <v>2.9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HYPERLINK("https://klasma.github.io/Logging_1962/artfynd/A 38927-2026 artfynd.xlsx", "A 38927-2026")</f>
        <v/>
      </c>
      <c r="X23">
        <f>HYPERLINK("https://klasma.github.io/Logging_1962/kartor/A 38927-2026 karta.png", "A 38927-2026")</f>
        <v/>
      </c>
      <c r="Y23">
        <f>HYPERLINK("https://klasma.github.io/Logging_1962/kartor_geotiff/A 38927-2026 georefererad karta.tif", "A 38927-2026")</f>
        <v/>
      </c>
      <c r="AA23">
        <f>HYPERLINK("https://klasma.github.io/Logging_1962/klagomål/A 38927-2026 FSC-klagomål.docx", "A 38927-2026")</f>
        <v/>
      </c>
      <c r="AB23">
        <f>HYPERLINK("https://klasma.github.io/Logging_1962/klagomålsmail/A 38927-2026 FSC-klagomål mail.docx", "A 38927-2026")</f>
        <v/>
      </c>
      <c r="AC23">
        <f>HYPERLINK("https://klasma.github.io/Logging_1962/tillsyn/A 38927-2026 tillsynsbegäran.docx", "A 38927-2026")</f>
        <v/>
      </c>
      <c r="AD23">
        <f>HYPERLINK("https://klasma.github.io/Logging_1962/tillsynsmail/A 38927-2026 tillsynsbegäran mail.docx", "A 38927-2026")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46318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46318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41909-2026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46303</v>
      </c>
      <c r="E26" s="1" t="n">
        <v>46318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Plattlummer</t>
        </is>
      </c>
      <c r="W26">
        <f>HYPERLINK("https://klasma.github.io/Logging_1962/artfynd/A 41909-2026 artfynd.xlsx", "A 41909-2026")</f>
        <v/>
      </c>
      <c r="X26">
        <f>HYPERLINK("https://klasma.github.io/Logging_1962/kartor/A 41909-2026 karta.png", "A 41909-2026")</f>
        <v/>
      </c>
      <c r="Y26">
        <f>HYPERLINK("https://klasma.github.io/Logging_1962/kartor_geotiff/A 41909-2026 georefererad karta.tif", "A 41909-2026")</f>
        <v/>
      </c>
      <c r="AA26">
        <f>HYPERLINK("https://klasma.github.io/Logging_1962/klagomål/A 41909-2026 FSC-klagomål.docx", "A 41909-2026")</f>
        <v/>
      </c>
      <c r="AB26">
        <f>HYPERLINK("https://klasma.github.io/Logging_1962/klagomålsmail/A 41909-2026 FSC-klagomål mail.docx", "A 41909-2026")</f>
        <v/>
      </c>
      <c r="AC26">
        <f>HYPERLINK("https://klasma.github.io/Logging_1962/tillsyn/A 41909-2026 tillsynsbegäran.docx", "A 41909-2026")</f>
        <v/>
      </c>
      <c r="AD26">
        <f>HYPERLINK("https://klasma.github.io/Logging_1962/tillsynsmail/A 41909-2026 tillsynsbegäran mail.docx", "A 41909-2026")</f>
        <v/>
      </c>
    </row>
    <row r="27" ht="15" customHeight="1">
      <c r="A27" t="inlineStr">
        <is>
          <t>A 34967-2023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45142</v>
      </c>
      <c r="E27" s="1" t="n">
        <v>46318</v>
      </c>
      <c r="F27" t="inlineStr">
        <is>
          <t>VÄSTMANLANDS LÄN</t>
        </is>
      </c>
      <c r="G27" t="inlineStr">
        <is>
          <t>NORBERG</t>
        </is>
      </c>
      <c r="H27" t="inlineStr">
        <is>
          <t>Kyrkan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Skogsklocka</t>
        </is>
      </c>
      <c r="W27">
        <f>HYPERLINK("https://klasma.github.io/Logging_1962/artfynd/A 34967-2023 artfynd.xlsx", "A 34967-2023")</f>
        <v/>
      </c>
      <c r="X27">
        <f>HYPERLINK("https://klasma.github.io/Logging_1962/kartor/A 34967-2023 karta.png", "A 34967-2023")</f>
        <v/>
      </c>
      <c r="Y27">
        <f>HYPERLINK("https://klasma.github.io/Logging_1962/kartor_geotiff/A 34967-2023 georefererad karta.tif", "A 34967-2023")</f>
        <v/>
      </c>
      <c r="AA27">
        <f>HYPERLINK("https://klasma.github.io/Logging_1962/klagomål/A 34967-2023 FSC-klagomål.docx", "A 34967-2023")</f>
        <v/>
      </c>
      <c r="AB27">
        <f>HYPERLINK("https://klasma.github.io/Logging_1962/klagomålsmail/A 34967-2023 FSC-klagomål mail.docx", "A 34967-2023")</f>
        <v/>
      </c>
      <c r="AC27">
        <f>HYPERLINK("https://klasma.github.io/Logging_1962/tillsyn/A 34967-2023 tillsynsbegäran.docx", "A 34967-2023")</f>
        <v/>
      </c>
      <c r="AD27">
        <f>HYPERLINK("https://klasma.github.io/Logging_1962/tillsynsmail/A 34967-2023 tillsynsbegäran mail.docx", "A 34967-2023")</f>
        <v/>
      </c>
    </row>
    <row r="28" ht="15" customHeight="1">
      <c r="A28" t="inlineStr">
        <is>
          <t>A 18464-2025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45762</v>
      </c>
      <c r="E28" s="1" t="n">
        <v>46318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1.1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Skogsknipprot</t>
        </is>
      </c>
      <c r="W28">
        <f>HYPERLINK("https://klasma.github.io/Logging_1962/artfynd/A 18464-2025 artfynd.xlsx", "A 18464-2025")</f>
        <v/>
      </c>
      <c r="X28">
        <f>HYPERLINK("https://klasma.github.io/Logging_1962/kartor/A 18464-2025 karta.png", "A 18464-2025")</f>
        <v/>
      </c>
      <c r="Y28">
        <f>HYPERLINK("https://klasma.github.io/Logging_1962/kartor_geotiff/A 18464-2025 georefererad karta.tif", "A 18464-2025")</f>
        <v/>
      </c>
      <c r="AA28">
        <f>HYPERLINK("https://klasma.github.io/Logging_1962/klagomål/A 18464-2025 FSC-klagomål.docx", "A 18464-2025")</f>
        <v/>
      </c>
      <c r="AB28">
        <f>HYPERLINK("https://klasma.github.io/Logging_1962/klagomålsmail/A 18464-2025 FSC-klagomål mail.docx", "A 18464-2025")</f>
        <v/>
      </c>
      <c r="AC28">
        <f>HYPERLINK("https://klasma.github.io/Logging_1962/tillsyn/A 18464-2025 tillsynsbegäran.docx", "A 18464-2025")</f>
        <v/>
      </c>
      <c r="AD28">
        <f>HYPERLINK("https://klasma.github.io/Logging_1962/tillsynsmail/A 18464-2025 tillsynsbegäran mail.docx", "A 18464-2025")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46318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46318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46318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46318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46318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46318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46318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46318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46318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46318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46318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46318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51778-2024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45607</v>
      </c>
      <c r="E41" s="1" t="n">
        <v>46318</v>
      </c>
      <c r="F41" t="inlineStr">
        <is>
          <t>VÄSTMANLANDS LÄN</t>
        </is>
      </c>
      <c r="G41" t="inlineStr">
        <is>
          <t>NORBERG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46318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46318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46318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46318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46318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73797-2021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44552</v>
      </c>
      <c r="E47" s="1" t="n">
        <v>46318</v>
      </c>
      <c r="F47" t="inlineStr">
        <is>
          <t>VÄSTMANLANDS LÄN</t>
        </is>
      </c>
      <c r="G47" t="inlineStr">
        <is>
          <t>NORBERG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20381-2023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45056</v>
      </c>
      <c r="E48" s="1" t="n">
        <v>46318</v>
      </c>
      <c r="F48" t="inlineStr">
        <is>
          <t>VÄSTMANLANDS LÄN</t>
        </is>
      </c>
      <c r="G48" t="inlineStr">
        <is>
          <t>NORBERG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63495-2023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45274</v>
      </c>
      <c r="E49" s="1" t="n">
        <v>46318</v>
      </c>
      <c r="F49" t="inlineStr">
        <is>
          <t>VÄSTMANLANDS LÄN</t>
        </is>
      </c>
      <c r="G49" t="inlineStr">
        <is>
          <t>NORBERG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46318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46045-2023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45196</v>
      </c>
      <c r="E51" s="1" t="n">
        <v>46318</v>
      </c>
      <c r="F51" t="inlineStr">
        <is>
          <t>VÄSTMANLANDS LÄN</t>
        </is>
      </c>
      <c r="G51" t="inlineStr">
        <is>
          <t>NORBERG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20378-2023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45056</v>
      </c>
      <c r="E52" s="1" t="n">
        <v>46318</v>
      </c>
      <c r="F52" t="inlineStr">
        <is>
          <t>VÄSTMANLANDS LÄN</t>
        </is>
      </c>
      <c r="G52" t="inlineStr">
        <is>
          <t>NORBERG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46318</v>
      </c>
      <c r="F53" t="inlineStr">
        <is>
          <t>VÄSTMANLANDS LÄN</t>
        </is>
      </c>
      <c r="G53" t="inlineStr">
        <is>
          <t>NORBERG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46318</v>
      </c>
      <c r="F54" t="inlineStr">
        <is>
          <t>VÄSTMANLANDS LÄN</t>
        </is>
      </c>
      <c r="G54" t="inlineStr">
        <is>
          <t>NORBERG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45639</v>
      </c>
      <c r="E55" s="1" t="n">
        <v>46318</v>
      </c>
      <c r="F55" t="inlineStr">
        <is>
          <t>VÄSTMANLANDS LÄN</t>
        </is>
      </c>
      <c r="G55" t="inlineStr">
        <is>
          <t>NORBERG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27580-2024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45474</v>
      </c>
      <c r="E56" s="1" t="n">
        <v>46318</v>
      </c>
      <c r="F56" t="inlineStr">
        <is>
          <t>VÄSTMANLANDS LÄN</t>
        </is>
      </c>
      <c r="G56" t="inlineStr">
        <is>
          <t>NORBERG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47753-2024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45588</v>
      </c>
      <c r="E57" s="1" t="n">
        <v>46318</v>
      </c>
      <c r="F57" t="inlineStr">
        <is>
          <t>VÄSTMANLANDS LÄN</t>
        </is>
      </c>
      <c r="G57" t="inlineStr">
        <is>
          <t>NORBERG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7744-2023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46318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46318</v>
      </c>
      <c r="F59" t="inlineStr">
        <is>
          <t>VÄSTMANLANDS LÄN</t>
        </is>
      </c>
      <c r="G59" t="inlineStr">
        <is>
          <t>NORBERG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17075-2023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46318</v>
      </c>
      <c r="F60" t="inlineStr">
        <is>
          <t>VÄSTMANLANDS LÄN</t>
        </is>
      </c>
      <c r="G60" t="inlineStr">
        <is>
          <t>NORBERG</t>
        </is>
      </c>
      <c r="H60" t="inlineStr">
        <is>
          <t>Bergvik skog väst AB</t>
        </is>
      </c>
      <c r="I60" t="n">
        <v>8.1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46318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46318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45474</v>
      </c>
      <c r="E63" s="1" t="n">
        <v>46318</v>
      </c>
      <c r="F63" t="inlineStr">
        <is>
          <t>VÄSTMANLANDS LÄN</t>
        </is>
      </c>
      <c r="G63" t="inlineStr">
        <is>
          <t>NORBERG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45613</v>
      </c>
      <c r="E64" s="1" t="n">
        <v>46318</v>
      </c>
      <c r="F64" t="inlineStr">
        <is>
          <t>VÄSTMANLANDS LÄN</t>
        </is>
      </c>
      <c r="G64" t="inlineStr">
        <is>
          <t>NORBERG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46318</v>
      </c>
      <c r="F65" t="inlineStr">
        <is>
          <t>VÄSTMANLANDS LÄN</t>
        </is>
      </c>
      <c r="G65" t="inlineStr">
        <is>
          <t>NORBERG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46318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15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45882</v>
      </c>
      <c r="E67" s="1" t="n">
        <v>46318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45408</v>
      </c>
      <c r="E68" s="1" t="n">
        <v>46318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46318</v>
      </c>
      <c r="F69" t="inlineStr">
        <is>
          <t>VÄSTMANLANDS LÄN</t>
        </is>
      </c>
      <c r="G69" t="inlineStr">
        <is>
          <t>NORBERG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46318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41448-2024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45560</v>
      </c>
      <c r="E71" s="1" t="n">
        <v>46318</v>
      </c>
      <c r="F71" t="inlineStr">
        <is>
          <t>VÄSTMANLANDS LÄN</t>
        </is>
      </c>
      <c r="G71" t="inlineStr">
        <is>
          <t>NORBERG</t>
        </is>
      </c>
      <c r="H71" t="inlineStr">
        <is>
          <t>Bergvik skog väst AB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37200-2023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46318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49001-2025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46318</v>
      </c>
      <c r="F73" t="inlineStr">
        <is>
          <t>VÄSTMANLANDS LÄN</t>
        </is>
      </c>
      <c r="G73" t="inlineStr">
        <is>
          <t>NORBERG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36905-2023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45154</v>
      </c>
      <c r="E74" s="1" t="n">
        <v>46318</v>
      </c>
      <c r="F74" t="inlineStr">
        <is>
          <t>VÄSTMANLANDS LÄN</t>
        </is>
      </c>
      <c r="G74" t="inlineStr">
        <is>
          <t>NORBERG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46318</v>
      </c>
      <c r="F75" t="inlineStr">
        <is>
          <t>VÄSTMANLANDS LÄN</t>
        </is>
      </c>
      <c r="G75" t="inlineStr">
        <is>
          <t>NORBERG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46318</v>
      </c>
      <c r="F76" t="inlineStr">
        <is>
          <t>VÄSTMANLANDS LÄN</t>
        </is>
      </c>
      <c r="G76" t="inlineStr">
        <is>
          <t>NORBERG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40140-2023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45169</v>
      </c>
      <c r="E77" s="1" t="n">
        <v>46318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45200</v>
      </c>
      <c r="E78" s="1" t="n">
        <v>46318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45226</v>
      </c>
      <c r="E79" s="1" t="n">
        <v>46318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46318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46318</v>
      </c>
      <c r="F81" t="inlineStr">
        <is>
          <t>VÄSTMANLANDS LÄN</t>
        </is>
      </c>
      <c r="G81" t="inlineStr">
        <is>
          <t>NORBERG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45598</v>
      </c>
      <c r="E82" s="1" t="n">
        <v>46318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45588</v>
      </c>
      <c r="E83" s="1" t="n">
        <v>46318</v>
      </c>
      <c r="F83" t="inlineStr">
        <is>
          <t>VÄSTMANLANDS LÄN</t>
        </is>
      </c>
      <c r="G83" t="inlineStr">
        <is>
          <t>NORBERG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46318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46318</v>
      </c>
      <c r="F85" t="inlineStr">
        <is>
          <t>VÄSTMANLANDS LÄN</t>
        </is>
      </c>
      <c r="G85" t="inlineStr">
        <is>
          <t>NORBERG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45607</v>
      </c>
      <c r="E86" s="1" t="n">
        <v>46318</v>
      </c>
      <c r="F86" t="inlineStr">
        <is>
          <t>VÄSTMANLANDS LÄN</t>
        </is>
      </c>
      <c r="G86" t="inlineStr">
        <is>
          <t>NORBERG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45049</v>
      </c>
      <c r="E87" s="1" t="n">
        <v>46318</v>
      </c>
      <c r="F87" t="inlineStr">
        <is>
          <t>VÄSTMANLANDS LÄN</t>
        </is>
      </c>
      <c r="G87" t="inlineStr">
        <is>
          <t>NORBERG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46318</v>
      </c>
      <c r="F88" t="inlineStr">
        <is>
          <t>VÄSTMANLANDS LÄN</t>
        </is>
      </c>
      <c r="G88" t="inlineStr">
        <is>
          <t>NORBERG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45966</v>
      </c>
      <c r="E89" s="1" t="n">
        <v>46318</v>
      </c>
      <c r="F89" t="inlineStr">
        <is>
          <t>VÄSTMANLANDS LÄN</t>
        </is>
      </c>
      <c r="G89" t="inlineStr">
        <is>
          <t>NORBERG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67356-2021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46318</v>
      </c>
      <c r="F90" t="inlineStr">
        <is>
          <t>VÄSTMANLANDS LÄN</t>
        </is>
      </c>
      <c r="G90" t="inlineStr">
        <is>
          <t>NORBERG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45405</v>
      </c>
      <c r="E91" s="1" t="n">
        <v>46318</v>
      </c>
      <c r="F91" t="inlineStr">
        <is>
          <t>VÄSTMANLANDS LÄN</t>
        </is>
      </c>
      <c r="G91" t="inlineStr">
        <is>
          <t>NORBERG</t>
        </is>
      </c>
      <c r="I91" t="n">
        <v>7.7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20968-2026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46142</v>
      </c>
      <c r="E92" s="1" t="n">
        <v>46318</v>
      </c>
      <c r="F92" t="inlineStr">
        <is>
          <t>VÄSTMANLANDS LÄN</t>
        </is>
      </c>
      <c r="G92" t="inlineStr">
        <is>
          <t>NORBERG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46318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45233</v>
      </c>
      <c r="E94" s="1" t="n">
        <v>46318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46146</v>
      </c>
      <c r="E95" s="1" t="n">
        <v>46318</v>
      </c>
      <c r="F95" t="inlineStr">
        <is>
          <t>VÄSTMANLANDS LÄN</t>
        </is>
      </c>
      <c r="G95" t="inlineStr">
        <is>
          <t>NORBERG</t>
        </is>
      </c>
      <c r="H95" t="inlineStr">
        <is>
          <t>Bergvik skog väst AB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21504-2026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46148</v>
      </c>
      <c r="E96" s="1" t="n">
        <v>46318</v>
      </c>
      <c r="F96" t="inlineStr">
        <is>
          <t>VÄSTMANLANDS LÄN</t>
        </is>
      </c>
      <c r="G96" t="inlineStr">
        <is>
          <t>NORBERG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46148</v>
      </c>
      <c r="E97" s="1" t="n">
        <v>46318</v>
      </c>
      <c r="F97" t="inlineStr">
        <is>
          <t>VÄSTMANLANDS LÄN</t>
        </is>
      </c>
      <c r="G97" t="inlineStr">
        <is>
          <t>NORBERG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46864-2023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45200</v>
      </c>
      <c r="E98" s="1" t="n">
        <v>46318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46149</v>
      </c>
      <c r="E99" s="1" t="n">
        <v>46318</v>
      </c>
      <c r="F99" t="inlineStr">
        <is>
          <t>VÄSTMANLANDS LÄN</t>
        </is>
      </c>
      <c r="G99" t="inlineStr">
        <is>
          <t>NORBERG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46318</v>
      </c>
      <c r="F100" t="inlineStr">
        <is>
          <t>VÄSTMANLANDS LÄN</t>
        </is>
      </c>
      <c r="G100" t="inlineStr">
        <is>
          <t>NORBERG</t>
        </is>
      </c>
      <c r="H100" t="inlineStr">
        <is>
          <t>Bergvik skog väst AB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45989</v>
      </c>
      <c r="E101" s="1" t="n">
        <v>46318</v>
      </c>
      <c r="F101" t="inlineStr">
        <is>
          <t>VÄSTMANLANDS LÄN</t>
        </is>
      </c>
      <c r="G101" t="inlineStr">
        <is>
          <t>NORBERG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32524-2023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45121</v>
      </c>
      <c r="E102" s="1" t="n">
        <v>46318</v>
      </c>
      <c r="F102" t="inlineStr">
        <is>
          <t>VÄSTMANLANDS LÄN</t>
        </is>
      </c>
      <c r="G102" t="inlineStr">
        <is>
          <t>NORBERG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54143-2025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46318</v>
      </c>
      <c r="F103" t="inlineStr">
        <is>
          <t>VÄSTMANLANDS LÄN</t>
        </is>
      </c>
      <c r="G103" t="inlineStr">
        <is>
          <t>NORBERG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46318</v>
      </c>
      <c r="F104" t="inlineStr">
        <is>
          <t>VÄSTMANLANDS LÄN</t>
        </is>
      </c>
      <c r="G104" t="inlineStr">
        <is>
          <t>NORBERG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25477-2023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45089</v>
      </c>
      <c r="E105" s="1" t="n">
        <v>46318</v>
      </c>
      <c r="F105" t="inlineStr">
        <is>
          <t>VÄSTMANLANDS LÄN</t>
        </is>
      </c>
      <c r="G105" t="inlineStr">
        <is>
          <t>NORBERG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46318</v>
      </c>
      <c r="F106" t="inlineStr">
        <is>
          <t>VÄSTMANLANDS LÄN</t>
        </is>
      </c>
      <c r="G106" t="inlineStr">
        <is>
          <t>NORBERG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46318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46318</v>
      </c>
      <c r="F108" t="inlineStr">
        <is>
          <t>VÄSTMANLANDS LÄN</t>
        </is>
      </c>
      <c r="G108" t="inlineStr">
        <is>
          <t>NORBERG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56400-2025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45974</v>
      </c>
      <c r="E109" s="1" t="n">
        <v>46318</v>
      </c>
      <c r="F109" t="inlineStr">
        <is>
          <t>VÄSTMANLANDS LÄN</t>
        </is>
      </c>
      <c r="G109" t="inlineStr">
        <is>
          <t>NORBERG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44727</v>
      </c>
      <c r="E110" s="1" t="n">
        <v>46318</v>
      </c>
      <c r="F110" t="inlineStr">
        <is>
          <t>VÄSTMANLANDS LÄN</t>
        </is>
      </c>
      <c r="G110" t="inlineStr">
        <is>
          <t>NORBERG</t>
        </is>
      </c>
      <c r="H110" t="inlineStr">
        <is>
          <t>Bergvik skog väst AB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46014</v>
      </c>
      <c r="E111" s="1" t="n">
        <v>46318</v>
      </c>
      <c r="F111" t="inlineStr">
        <is>
          <t>VÄSTMANLANDS LÄN</t>
        </is>
      </c>
      <c r="G111" t="inlineStr">
        <is>
          <t>NORBERG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46014</v>
      </c>
      <c r="E112" s="1" t="n">
        <v>46318</v>
      </c>
      <c r="F112" t="inlineStr">
        <is>
          <t>VÄSTMANLANDS LÄN</t>
        </is>
      </c>
      <c r="G112" t="inlineStr">
        <is>
          <t>NORBERG</t>
        </is>
      </c>
      <c r="I112" t="n">
        <v>22.8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46318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46318</v>
      </c>
      <c r="F114" t="inlineStr">
        <is>
          <t>VÄSTMANLANDS LÄN</t>
        </is>
      </c>
      <c r="G114" t="inlineStr">
        <is>
          <t>NORBERG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45567</v>
      </c>
      <c r="E115" s="1" t="n">
        <v>46318</v>
      </c>
      <c r="F115" t="inlineStr">
        <is>
          <t>VÄSTMANLANDS LÄN</t>
        </is>
      </c>
      <c r="G115" t="inlineStr">
        <is>
          <t>NORBERG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46318</v>
      </c>
      <c r="F116" t="inlineStr">
        <is>
          <t>VÄSTMANLANDS LÄN</t>
        </is>
      </c>
      <c r="G116" t="inlineStr">
        <is>
          <t>NORBERG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46318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46318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46318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46318</v>
      </c>
      <c r="F120" t="inlineStr">
        <is>
          <t>VÄSTMANLANDS LÄN</t>
        </is>
      </c>
      <c r="G120" t="inlineStr">
        <is>
          <t>NORBERG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46318</v>
      </c>
      <c r="F121" t="inlineStr">
        <is>
          <t>VÄSTMANLANDS LÄN</t>
        </is>
      </c>
      <c r="G121" t="inlineStr">
        <is>
          <t>NORBERG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45191</v>
      </c>
      <c r="E122" s="1" t="n">
        <v>46318</v>
      </c>
      <c r="F122" t="inlineStr">
        <is>
          <t>VÄSTMANLANDS LÄN</t>
        </is>
      </c>
      <c r="G122" t="inlineStr">
        <is>
          <t>NORBERG</t>
        </is>
      </c>
      <c r="H122" t="inlineStr">
        <is>
          <t>Bergvik skog väst AB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46318</v>
      </c>
      <c r="F123" t="inlineStr">
        <is>
          <t>VÄSTMANLANDS LÄN</t>
        </is>
      </c>
      <c r="G123" t="inlineStr">
        <is>
          <t>NORBERG</t>
        </is>
      </c>
      <c r="H123" t="inlineStr">
        <is>
          <t>Bergvik skog väst AB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46318</v>
      </c>
      <c r="F124" t="inlineStr">
        <is>
          <t>VÄSTMANLANDS LÄN</t>
        </is>
      </c>
      <c r="G124" t="inlineStr">
        <is>
          <t>NORBERG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60339-2025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45994</v>
      </c>
      <c r="E125" s="1" t="n">
        <v>46318</v>
      </c>
      <c r="F125" t="inlineStr">
        <is>
          <t>VÄSTMANLANDS LÄN</t>
        </is>
      </c>
      <c r="G125" t="inlineStr">
        <is>
          <t>NORBERG</t>
        </is>
      </c>
      <c r="H125" t="inlineStr">
        <is>
          <t>Kommuner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45730</v>
      </c>
      <c r="E126" s="1" t="n">
        <v>46318</v>
      </c>
      <c r="F126" t="inlineStr">
        <is>
          <t>VÄSTMANLANDS LÄN</t>
        </is>
      </c>
      <c r="G126" t="inlineStr">
        <is>
          <t>NORBERG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46318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13.7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46318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45792</v>
      </c>
      <c r="E129" s="1" t="n">
        <v>46318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45290-2024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45576</v>
      </c>
      <c r="E130" s="1" t="n">
        <v>46318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9.300000000000001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46318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46318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46268</v>
      </c>
      <c r="E133" s="1" t="n">
        <v>46318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46099</v>
      </c>
      <c r="E134" s="1" t="n">
        <v>46318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46153</v>
      </c>
      <c r="E135" s="1" t="n">
        <v>46318</v>
      </c>
      <c r="F135" t="inlineStr">
        <is>
          <t>VÄSTMANLANDS LÄN</t>
        </is>
      </c>
      <c r="G135" t="inlineStr">
        <is>
          <t>NORBERG</t>
        </is>
      </c>
      <c r="H135" t="inlineStr">
        <is>
          <t>Övriga Aktiebolag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15261-2026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46105</v>
      </c>
      <c r="E136" s="1" t="n">
        <v>46318</v>
      </c>
      <c r="F136" t="inlineStr">
        <is>
          <t>VÄSTMANLANDS LÄN</t>
        </is>
      </c>
      <c r="G136" t="inlineStr">
        <is>
          <t>NORBERG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46318</v>
      </c>
      <c r="F137" t="inlineStr">
        <is>
          <t>VÄSTMANLANDS LÄN</t>
        </is>
      </c>
      <c r="G137" t="inlineStr">
        <is>
          <t>NORBERG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46318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15981-2026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46318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46318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46114</v>
      </c>
      <c r="E141" s="1" t="n">
        <v>46318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46113</v>
      </c>
      <c r="E142" s="1" t="n">
        <v>46318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46318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46318</v>
      </c>
      <c r="F144" t="inlineStr">
        <is>
          <t>VÄSTMANLANDS LÄN</t>
        </is>
      </c>
      <c r="G144" t="inlineStr">
        <is>
          <t>NORBERG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46223</v>
      </c>
      <c r="E145" s="1" t="n">
        <v>46318</v>
      </c>
      <c r="F145" t="inlineStr">
        <is>
          <t>VÄSTMANLANDS LÄN</t>
        </is>
      </c>
      <c r="G145" t="inlineStr">
        <is>
          <t>NORBERG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63505-2023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45274</v>
      </c>
      <c r="E146" s="1" t="n">
        <v>46318</v>
      </c>
      <c r="F146" t="inlineStr">
        <is>
          <t>VÄSTMANLANDS LÄN</t>
        </is>
      </c>
      <c r="G146" t="inlineStr">
        <is>
          <t>NORBERG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46318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46318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42198-2023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45179</v>
      </c>
      <c r="E149" s="1" t="n">
        <v>46318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46232</v>
      </c>
      <c r="E150" s="1" t="n">
        <v>46318</v>
      </c>
      <c r="F150" t="inlineStr">
        <is>
          <t>VÄSTMANLANDS LÄN</t>
        </is>
      </c>
      <c r="G150" t="inlineStr">
        <is>
          <t>NORBERG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31967-2026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46232</v>
      </c>
      <c r="E151" s="1" t="n">
        <v>46318</v>
      </c>
      <c r="F151" t="inlineStr">
        <is>
          <t>VÄSTMANLANDS LÄN</t>
        </is>
      </c>
      <c r="G151" t="inlineStr">
        <is>
          <t>NORBERG</t>
        </is>
      </c>
      <c r="H151" t="inlineStr">
        <is>
          <t>Bergvik skog väst AB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46233</v>
      </c>
      <c r="E152" s="1" t="n">
        <v>46318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19075-2022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44691</v>
      </c>
      <c r="E153" s="1" t="n">
        <v>46318</v>
      </c>
      <c r="F153" t="inlineStr">
        <is>
          <t>VÄSTMANLANDS LÄN</t>
        </is>
      </c>
      <c r="G153" t="inlineStr">
        <is>
          <t>NORBERG</t>
        </is>
      </c>
      <c r="H153" t="inlineStr">
        <is>
          <t>Övriga Aktiebolag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46318</v>
      </c>
      <c r="F154" t="inlineStr">
        <is>
          <t>VÄSTMANLANDS LÄN</t>
        </is>
      </c>
      <c r="G154" t="inlineStr">
        <is>
          <t>NORBERG</t>
        </is>
      </c>
      <c r="I154" t="n">
        <v>22.4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32385-2026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46238</v>
      </c>
      <c r="E155" s="1" t="n">
        <v>46318</v>
      </c>
      <c r="F155" t="inlineStr">
        <is>
          <t>VÄSTMANLANDS LÄN</t>
        </is>
      </c>
      <c r="G155" t="inlineStr">
        <is>
          <t>NORBERG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44628</v>
      </c>
      <c r="E156" s="1" t="n">
        <v>46318</v>
      </c>
      <c r="F156" t="inlineStr">
        <is>
          <t>VÄSTMANLANDS LÄN</t>
        </is>
      </c>
      <c r="G156" t="inlineStr">
        <is>
          <t>NORBERG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45729</v>
      </c>
      <c r="E157" s="1" t="n">
        <v>46318</v>
      </c>
      <c r="F157" t="inlineStr">
        <is>
          <t>VÄSTMANLANDS LÄN</t>
        </is>
      </c>
      <c r="G157" t="inlineStr">
        <is>
          <t>NORBERG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46318</v>
      </c>
      <c r="F158" t="inlineStr">
        <is>
          <t>VÄSTMANLANDS LÄN</t>
        </is>
      </c>
      <c r="G158" t="inlineStr">
        <is>
          <t>NORBERG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19173-2025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46318</v>
      </c>
      <c r="F159" t="inlineStr">
        <is>
          <t>VÄSTMANLANDS LÄN</t>
        </is>
      </c>
      <c r="G159" t="inlineStr">
        <is>
          <t>NORBERG</t>
        </is>
      </c>
      <c r="H159" t="inlineStr">
        <is>
          <t>Övriga Aktiebolag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46246</v>
      </c>
      <c r="E160" s="1" t="n">
        <v>46318</v>
      </c>
      <c r="F160" t="inlineStr">
        <is>
          <t>VÄSTMANLANDS LÄN</t>
        </is>
      </c>
      <c r="G160" t="inlineStr">
        <is>
          <t>NORBERG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46318</v>
      </c>
      <c r="F161" t="inlineStr">
        <is>
          <t>VÄSTMANLANDS LÄN</t>
        </is>
      </c>
      <c r="G161" t="inlineStr">
        <is>
          <t>NORBERG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46318</v>
      </c>
      <c r="F162" t="inlineStr">
        <is>
          <t>VÄSTMANLANDS LÄN</t>
        </is>
      </c>
      <c r="G162" t="inlineStr">
        <is>
          <t>NORBERG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46247</v>
      </c>
      <c r="E163" s="1" t="n">
        <v>46318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54306-2023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46318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46318</v>
      </c>
      <c r="F165" t="inlineStr">
        <is>
          <t>VÄSTMANLANDS LÄN</t>
        </is>
      </c>
      <c r="G165" t="inlineStr">
        <is>
          <t>NORBERG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46318</v>
      </c>
      <c r="F166" t="inlineStr">
        <is>
          <t>VÄSTMANLANDS LÄN</t>
        </is>
      </c>
      <c r="G166" t="inlineStr">
        <is>
          <t>NORBERG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46318</v>
      </c>
      <c r="F167" t="inlineStr">
        <is>
          <t>VÄSTMANLANDS LÄN</t>
        </is>
      </c>
      <c r="G167" t="inlineStr">
        <is>
          <t>NORBERG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44992</v>
      </c>
      <c r="E168" s="1" t="n">
        <v>46318</v>
      </c>
      <c r="F168" t="inlineStr">
        <is>
          <t>VÄSTMANLANDS LÄN</t>
        </is>
      </c>
      <c r="G168" t="inlineStr">
        <is>
          <t>NORBERG</t>
        </is>
      </c>
      <c r="I168" t="n">
        <v>8.300000000000001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46253</v>
      </c>
      <c r="E169" s="1" t="n">
        <v>46318</v>
      </c>
      <c r="F169" t="inlineStr">
        <is>
          <t>VÄSTMANLANDS LÄN</t>
        </is>
      </c>
      <c r="G169" t="inlineStr">
        <is>
          <t>NORBERG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45454</v>
      </c>
      <c r="E170" s="1" t="n">
        <v>46318</v>
      </c>
      <c r="F170" t="inlineStr">
        <is>
          <t>VÄSTMANLANDS LÄN</t>
        </is>
      </c>
      <c r="G170" t="inlineStr">
        <is>
          <t>NORBERG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45205</v>
      </c>
      <c r="E171" s="1" t="n">
        <v>46318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46258</v>
      </c>
      <c r="E172" s="1" t="n">
        <v>46318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45191</v>
      </c>
      <c r="E173" s="1" t="n">
        <v>46318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46318</v>
      </c>
      <c r="F174" t="inlineStr">
        <is>
          <t>VÄSTMANLANDS LÄN</t>
        </is>
      </c>
      <c r="G174" t="inlineStr">
        <is>
          <t>NORBERG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46303</v>
      </c>
      <c r="E175" s="1" t="n">
        <v>46318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45537</v>
      </c>
      <c r="E176" s="1" t="n">
        <v>46318</v>
      </c>
      <c r="F176" t="inlineStr">
        <is>
          <t>VÄSTMANLANDS LÄN</t>
        </is>
      </c>
      <c r="G176" t="inlineStr">
        <is>
          <t>NORBERG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46303</v>
      </c>
      <c r="E177" s="1" t="n">
        <v>46318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46303</v>
      </c>
      <c r="E178" s="1" t="n">
        <v>46318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46318</v>
      </c>
      <c r="F179" t="inlineStr">
        <is>
          <t>VÄSTMANLANDS LÄN</t>
        </is>
      </c>
      <c r="G179" t="inlineStr">
        <is>
          <t>NORBERG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46318</v>
      </c>
      <c r="F180" t="inlineStr">
        <is>
          <t>VÄSTMANLANDS LÄN</t>
        </is>
      </c>
      <c r="G180" t="inlineStr">
        <is>
          <t>NORBERG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46093</v>
      </c>
      <c r="E181" s="1" t="n">
        <v>46318</v>
      </c>
      <c r="F181" t="inlineStr">
        <is>
          <t>VÄSTMANLANDS LÄN</t>
        </is>
      </c>
      <c r="G181" t="inlineStr">
        <is>
          <t>NORBERG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51790-2024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45607</v>
      </c>
      <c r="E182" s="1" t="n">
        <v>46318</v>
      </c>
      <c r="F182" t="inlineStr">
        <is>
          <t>VÄSTMANLANDS LÄN</t>
        </is>
      </c>
      <c r="G182" t="inlineStr">
        <is>
          <t>NORBERG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46265</v>
      </c>
      <c r="E183" s="1" t="n">
        <v>46318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36013-2026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46266</v>
      </c>
      <c r="E184" s="1" t="n">
        <v>46318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35731-2026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46318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46318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46268</v>
      </c>
      <c r="E187" s="1" t="n">
        <v>46318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44852</v>
      </c>
      <c r="E188" s="1" t="n">
        <v>46318</v>
      </c>
      <c r="F188" t="inlineStr">
        <is>
          <t>VÄSTMANLANDS LÄN</t>
        </is>
      </c>
      <c r="G188" t="inlineStr">
        <is>
          <t>NORBERG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46318</v>
      </c>
      <c r="F189" t="inlineStr">
        <is>
          <t>VÄSTMANLANDS LÄN</t>
        </is>
      </c>
      <c r="G189" t="inlineStr">
        <is>
          <t>NORBERG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3587-2024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45320</v>
      </c>
      <c r="E190" s="1" t="n">
        <v>46318</v>
      </c>
      <c r="F190" t="inlineStr">
        <is>
          <t>VÄSTMANLANDS LÄN</t>
        </is>
      </c>
      <c r="G190" t="inlineStr">
        <is>
          <t>NORBERG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19377-2025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45769</v>
      </c>
      <c r="E191" s="1" t="n">
        <v>46318</v>
      </c>
      <c r="F191" t="inlineStr">
        <is>
          <t>VÄSTMANLANDS LÄN</t>
        </is>
      </c>
      <c r="G191" t="inlineStr">
        <is>
          <t>NORBERG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45408</v>
      </c>
      <c r="E192" s="1" t="n">
        <v>46318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8.800000000000001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46318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46318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46318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2026-10-23T02:02:46Z</dcterms:created>
  <dcterms:modified xmlns:dcterms="http://purl.org/dc/terms/" xmlns:xsi="http://www.w3.org/2001/XMLSchema-instance" xsi:type="dcterms:W3CDTF">2026-10-23T02:02:46Z</dcterms:modified>
</cp:coreProperties>
</file>