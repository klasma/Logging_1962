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46305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46305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46305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46305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46305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46305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46305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46305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26072-2023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45091</v>
      </c>
      <c r="E10" s="1" t="n">
        <v>46305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26072-2023 artfynd.xlsx", "A 26072-2023")</f>
        <v/>
      </c>
      <c r="X10">
        <f>HYPERLINK("https://klasma.github.io/Logging_1962/kartor/A 26072-2023 karta.png", "A 26072-2023")</f>
        <v/>
      </c>
      <c r="Y10">
        <f>HYPERLINK("https://klasma.github.io/Logging_1962/kartor_geotiff/A 26072-2023 georefererad karta.tif", "A 26072-2023")</f>
        <v/>
      </c>
      <c r="AA10">
        <f>HYPERLINK("https://klasma.github.io/Logging_1962/klagomål/A 26072-2023 FSC-klagomål.docx", "A 26072-2023")</f>
        <v/>
      </c>
      <c r="AB10">
        <f>HYPERLINK("https://klasma.github.io/Logging_1962/klagomålsmail/A 26072-2023 FSC-klagomål mail.docx", "A 26072-2023")</f>
        <v/>
      </c>
      <c r="AC10">
        <f>HYPERLINK("https://klasma.github.io/Logging_1962/tillsyn/A 26072-2023 tillsynsbegäran.docx", "A 26072-2023")</f>
        <v/>
      </c>
      <c r="AD10">
        <f>HYPERLINK("https://klasma.github.io/Logging_1962/tillsynsmail/A 26072-2023 tillsynsbegäran mail.docx", "A 26072-2023")</f>
        <v/>
      </c>
      <c r="AE10">
        <f>HYPERLINK("https://klasma.github.io/Logging_1962/fåglar/A 26072-2023 prioriterade fågelarter.docx", "A 26072-2023")</f>
        <v/>
      </c>
    </row>
    <row r="11" ht="15" customHeight="1">
      <c r="A11" t="inlineStr">
        <is>
          <t>A 63777-2025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46305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63777-2025 artfynd.xlsx", "A 63777-2025")</f>
        <v/>
      </c>
      <c r="X11">
        <f>HYPERLINK("https://klasma.github.io/Logging_1962/kartor/A 63777-2025 karta.png", "A 63777-2025")</f>
        <v/>
      </c>
      <c r="Y11">
        <f>HYPERLINK("https://klasma.github.io/Logging_1962/kartor_geotiff/A 63777-2025 georefererad karta.tif", "A 63777-2025")</f>
        <v/>
      </c>
      <c r="AA11">
        <f>HYPERLINK("https://klasma.github.io/Logging_1962/klagomål/A 63777-2025 FSC-klagomål.docx", "A 63777-2025")</f>
        <v/>
      </c>
      <c r="AB11">
        <f>HYPERLINK("https://klasma.github.io/Logging_1962/klagomålsmail/A 63777-2025 FSC-klagomål mail.docx", "A 63777-2025")</f>
        <v/>
      </c>
      <c r="AC11">
        <f>HYPERLINK("https://klasma.github.io/Logging_1962/tillsyn/A 63777-2025 tillsynsbegäran.docx", "A 63777-2025")</f>
        <v/>
      </c>
      <c r="AD11">
        <f>HYPERLINK("https://klasma.github.io/Logging_1962/tillsynsmail/A 63777-2025 tillsynsbegäran mail.docx", "A 63777-2025")</f>
        <v/>
      </c>
      <c r="AE11">
        <f>HYPERLINK("https://klasma.github.io/Logging_1962/fåglar/A 63777-2025 prioriterade fågelarter.docx", "A 63777-2025")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46305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41901-2026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46303</v>
      </c>
      <c r="E13" s="1" t="n">
        <v>46305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Skogshakmossa
Fläcknycklar</t>
        </is>
      </c>
      <c r="W13">
        <f>HYPERLINK("https://klasma.github.io/Logging_1962/artfynd/A 41901-2026 artfynd.xlsx", "A 41901-2026")</f>
        <v/>
      </c>
      <c r="X13">
        <f>HYPERLINK("https://klasma.github.io/Logging_1962/kartor/A 41901-2026 karta.png", "A 41901-2026")</f>
        <v/>
      </c>
      <c r="Y13">
        <f>HYPERLINK("https://klasma.github.io/Logging_1962/kartor_geotiff/A 41901-2026 georefererad karta.tif", "A 41901-2026")</f>
        <v/>
      </c>
      <c r="AA13">
        <f>HYPERLINK("https://klasma.github.io/Logging_1962/klagomål/A 41901-2026 FSC-klagomål.docx", "A 41901-2026")</f>
        <v/>
      </c>
      <c r="AB13">
        <f>HYPERLINK("https://klasma.github.io/Logging_1962/klagomålsmail/A 41901-2026 FSC-klagomål mail.docx", "A 41901-2026")</f>
        <v/>
      </c>
      <c r="AC13">
        <f>HYPERLINK("https://klasma.github.io/Logging_1962/tillsyn/A 41901-2026 tillsynsbegäran.docx", "A 41901-2026")</f>
        <v/>
      </c>
      <c r="AD13">
        <f>HYPERLINK("https://klasma.github.io/Logging_1962/tillsynsmail/A 41901-2026 tillsynsbegäran mail.docx", "A 41901-2026")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46305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46305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61099-2024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45644</v>
      </c>
      <c r="E16" s="1" t="n">
        <v>46305</v>
      </c>
      <c r="F16" t="inlineStr">
        <is>
          <t>VÄSTMANLANDS LÄN</t>
        </is>
      </c>
      <c r="G16" t="inlineStr">
        <is>
          <t>NORBERG</t>
        </is>
      </c>
      <c r="I16" t="n">
        <v>0.4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61099-2024 artfynd.xlsx", "A 61099-2024")</f>
        <v/>
      </c>
      <c r="X16">
        <f>HYPERLINK("https://klasma.github.io/Logging_1962/kartor/A 61099-2024 karta.png", "A 61099-2024")</f>
        <v/>
      </c>
      <c r="Y16">
        <f>HYPERLINK("https://klasma.github.io/Logging_1962/kartor_geotiff/A 61099-2024 georefererad karta.tif", "A 61099-2024")</f>
        <v/>
      </c>
      <c r="AA16">
        <f>HYPERLINK("https://klasma.github.io/Logging_1962/klagomål/A 61099-2024 FSC-klagomål.docx", "A 61099-2024")</f>
        <v/>
      </c>
      <c r="AB16">
        <f>HYPERLINK("https://klasma.github.io/Logging_1962/klagomålsmail/A 61099-2024 FSC-klagomål mail.docx", "A 61099-2024")</f>
        <v/>
      </c>
      <c r="AC16">
        <f>HYPERLINK("https://klasma.github.io/Logging_1962/tillsyn/A 61099-2024 tillsynsbegäran.docx", "A 61099-2024")</f>
        <v/>
      </c>
      <c r="AD16">
        <f>HYPERLINK("https://klasma.github.io/Logging_1962/tillsynsmail/A 61099-2024 tillsynsbegäran mail.docx", "A 61099-2024")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46305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34967-2023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45142</v>
      </c>
      <c r="E18" s="1" t="n">
        <v>46305</v>
      </c>
      <c r="F18" t="inlineStr">
        <is>
          <t>VÄSTMANLANDS LÄN</t>
        </is>
      </c>
      <c r="G18" t="inlineStr">
        <is>
          <t>NORBERG</t>
        </is>
      </c>
      <c r="H18" t="inlineStr">
        <is>
          <t>Kyrkan</t>
        </is>
      </c>
      <c r="I18" t="n">
        <v>0.6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Skogsklocka</t>
        </is>
      </c>
      <c r="W18">
        <f>HYPERLINK("https://klasma.github.io/Logging_1962/artfynd/A 34967-2023 artfynd.xlsx", "A 34967-2023")</f>
        <v/>
      </c>
      <c r="X18">
        <f>HYPERLINK("https://klasma.github.io/Logging_1962/kartor/A 34967-2023 karta.png", "A 34967-2023")</f>
        <v/>
      </c>
      <c r="Y18">
        <f>HYPERLINK("https://klasma.github.io/Logging_1962/kartor_geotiff/A 34967-2023 georefererad karta.tif", "A 34967-2023")</f>
        <v/>
      </c>
      <c r="AA18">
        <f>HYPERLINK("https://klasma.github.io/Logging_1962/klagomål/A 34967-2023 FSC-klagomål.docx", "A 34967-2023")</f>
        <v/>
      </c>
      <c r="AB18">
        <f>HYPERLINK("https://klasma.github.io/Logging_1962/klagomålsmail/A 34967-2023 FSC-klagomål mail.docx", "A 34967-2023")</f>
        <v/>
      </c>
      <c r="AC18">
        <f>HYPERLINK("https://klasma.github.io/Logging_1962/tillsyn/A 34967-2023 tillsynsbegäran.docx", "A 34967-2023")</f>
        <v/>
      </c>
      <c r="AD18">
        <f>HYPERLINK("https://klasma.github.io/Logging_1962/tillsynsmail/A 34967-2023 tillsynsbegäran mail.docx", "A 34967-2023")</f>
        <v/>
      </c>
    </row>
    <row r="19" ht="15" customHeight="1">
      <c r="A19" t="inlineStr">
        <is>
          <t>A 15107-2025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45744</v>
      </c>
      <c r="E19" s="1" t="n">
        <v>46305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15107-2025 artfynd.xlsx", "A 15107-2025")</f>
        <v/>
      </c>
      <c r="X19">
        <f>HYPERLINK("https://klasma.github.io/Logging_1962/kartor/A 15107-2025 karta.png", "A 15107-2025")</f>
        <v/>
      </c>
      <c r="Y19">
        <f>HYPERLINK("https://klasma.github.io/Logging_1962/kartor_geotiff/A 15107-2025 georefererad karta.tif", "A 15107-2025")</f>
        <v/>
      </c>
      <c r="AA19">
        <f>HYPERLINK("https://klasma.github.io/Logging_1962/klagomål/A 15107-2025 FSC-klagomål.docx", "A 15107-2025")</f>
        <v/>
      </c>
      <c r="AB19">
        <f>HYPERLINK("https://klasma.github.io/Logging_1962/klagomålsmail/A 15107-2025 FSC-klagomål mail.docx", "A 15107-2025")</f>
        <v/>
      </c>
      <c r="AC19">
        <f>HYPERLINK("https://klasma.github.io/Logging_1962/tillsyn/A 15107-2025 tillsynsbegäran.docx", "A 15107-2025")</f>
        <v/>
      </c>
      <c r="AD19">
        <f>HYPERLINK("https://klasma.github.io/Logging_1962/tillsynsmail/A 15107-2025 tillsynsbegäran mail.docx", "A 15107-2025")</f>
        <v/>
      </c>
    </row>
    <row r="20" ht="15" customHeight="1">
      <c r="A20" t="inlineStr">
        <is>
          <t>A 56936-2021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44480</v>
      </c>
      <c r="E20" s="1" t="n">
        <v>46305</v>
      </c>
      <c r="F20" t="inlineStr">
        <is>
          <t>VÄSTMANLANDS LÄN</t>
        </is>
      </c>
      <c r="G20" t="inlineStr">
        <is>
          <t>NORBERG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HYPERLINK("https://klasma.github.io/Logging_1962/artfynd/A 56936-2021 artfynd.xlsx", "A 56936-2021")</f>
        <v/>
      </c>
      <c r="X20">
        <f>HYPERLINK("https://klasma.github.io/Logging_1962/kartor/A 56936-2021 karta.png", "A 56936-2021")</f>
        <v/>
      </c>
      <c r="Y20">
        <f>HYPERLINK("https://klasma.github.io/Logging_1962/kartor_geotiff/A 56936-2021 georefererad karta.tif", "A 56936-2021")</f>
        <v/>
      </c>
      <c r="AA20">
        <f>HYPERLINK("https://klasma.github.io/Logging_1962/klagomål/A 56936-2021 FSC-klagomål.docx", "A 56936-2021")</f>
        <v/>
      </c>
      <c r="AB20">
        <f>HYPERLINK("https://klasma.github.io/Logging_1962/klagomålsmail/A 56936-2021 FSC-klagomål mail.docx", "A 56936-2021")</f>
        <v/>
      </c>
      <c r="AC20">
        <f>HYPERLINK("https://klasma.github.io/Logging_1962/tillsyn/A 56936-2021 tillsynsbegäran.docx", "A 56936-2021")</f>
        <v/>
      </c>
      <c r="AD20">
        <f>HYPERLINK("https://klasma.github.io/Logging_1962/tillsynsmail/A 56936-2021 tillsynsbegäran mail.docx", "A 56936-2021")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46305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38017-2025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45882</v>
      </c>
      <c r="E22" s="1" t="n">
        <v>46305</v>
      </c>
      <c r="F22" t="inlineStr">
        <is>
          <t>VÄSTMANLANDS LÄN</t>
        </is>
      </c>
      <c r="G22" t="inlineStr">
        <is>
          <t>NORBERG</t>
        </is>
      </c>
      <c r="H22" t="inlineStr">
        <is>
          <t>Övriga Aktiebolag</t>
        </is>
      </c>
      <c r="I22" t="n">
        <v>15.5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HYPERLINK("https://klasma.github.io/Logging_1962/artfynd/A 38017-2025 artfynd.xlsx", "A 38017-2025")</f>
        <v/>
      </c>
      <c r="X22">
        <f>HYPERLINK("https://klasma.github.io/Logging_1962/kartor/A 38017-2025 karta.png", "A 38017-2025")</f>
        <v/>
      </c>
      <c r="Y22">
        <f>HYPERLINK("https://klasma.github.io/Logging_1962/kartor_geotiff/A 38017-2025 georefererad karta.tif", "A 38017-2025")</f>
        <v/>
      </c>
      <c r="AA22">
        <f>HYPERLINK("https://klasma.github.io/Logging_1962/klagomål/A 38017-2025 FSC-klagomål.docx", "A 38017-2025")</f>
        <v/>
      </c>
      <c r="AB22">
        <f>HYPERLINK("https://klasma.github.io/Logging_1962/klagomålsmail/A 38017-2025 FSC-klagomål mail.docx", "A 38017-2025")</f>
        <v/>
      </c>
      <c r="AC22">
        <f>HYPERLINK("https://klasma.github.io/Logging_1962/tillsyn/A 38017-2025 tillsynsbegäran.docx", "A 38017-2025")</f>
        <v/>
      </c>
      <c r="AD22">
        <f>HYPERLINK("https://klasma.github.io/Logging_1962/tillsynsmail/A 38017-2025 tillsynsbegäran mail.docx", "A 38017-2025")</f>
        <v/>
      </c>
    </row>
    <row r="23" ht="15" customHeight="1">
      <c r="A23" t="inlineStr">
        <is>
          <t>A 20407-2026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46305</v>
      </c>
      <c r="F23" t="inlineStr">
        <is>
          <t>VÄSTMANLANDS LÄN</t>
        </is>
      </c>
      <c r="G23" t="inlineStr">
        <is>
          <t>NORBERG</t>
        </is>
      </c>
      <c r="I23" t="n">
        <v>1.3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HYPERLINK("https://klasma.github.io/Logging_1962/artfynd/A 20407-2026 artfynd.xlsx", "A 20407-2026")</f>
        <v/>
      </c>
      <c r="X23">
        <f>HYPERLINK("https://klasma.github.io/Logging_1962/kartor/A 20407-2026 karta.png", "A 20407-2026")</f>
        <v/>
      </c>
      <c r="Y23">
        <f>HYPERLINK("https://klasma.github.io/Logging_1962/kartor_geotiff/A 20407-2026 georefererad karta.tif", "A 20407-2026")</f>
        <v/>
      </c>
      <c r="AA23">
        <f>HYPERLINK("https://klasma.github.io/Logging_1962/klagomål/A 20407-2026 FSC-klagomål.docx", "A 20407-2026")</f>
        <v/>
      </c>
      <c r="AB23">
        <f>HYPERLINK("https://klasma.github.io/Logging_1962/klagomålsmail/A 20407-2026 FSC-klagomål mail.docx", "A 20407-2026")</f>
        <v/>
      </c>
      <c r="AC23">
        <f>HYPERLINK("https://klasma.github.io/Logging_1962/tillsyn/A 20407-2026 tillsynsbegäran.docx", "A 20407-2026")</f>
        <v/>
      </c>
      <c r="AD23">
        <f>HYPERLINK("https://klasma.github.io/Logging_1962/tillsynsmail/A 20407-2026 tillsynsbegäran mail.docx", "A 20407-2026")</f>
        <v/>
      </c>
      <c r="AE23">
        <f>HYPERLINK("https://klasma.github.io/Logging_1962/fåglar/A 20407-2026 prioriterade fågelarter.docx", "A 20407-2026")</f>
        <v/>
      </c>
    </row>
    <row r="24" ht="15" customHeight="1">
      <c r="A24" t="inlineStr">
        <is>
          <t>A 28307-2026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46196</v>
      </c>
      <c r="E24" s="1" t="n">
        <v>46305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Plattlummer</t>
        </is>
      </c>
      <c r="W24">
        <f>HYPERLINK("https://klasma.github.io/Logging_1962/artfynd/A 28307-2026 artfynd.xlsx", "A 28307-2026")</f>
        <v/>
      </c>
      <c r="X24">
        <f>HYPERLINK("https://klasma.github.io/Logging_1962/kartor/A 28307-2026 karta.png", "A 28307-2026")</f>
        <v/>
      </c>
      <c r="Y24">
        <f>HYPERLINK("https://klasma.github.io/Logging_1962/kartor_geotiff/A 28307-2026 georefererad karta.tif", "A 28307-2026")</f>
        <v/>
      </c>
      <c r="AA24">
        <f>HYPERLINK("https://klasma.github.io/Logging_1962/klagomål/A 28307-2026 FSC-klagomål.docx", "A 28307-2026")</f>
        <v/>
      </c>
      <c r="AB24">
        <f>HYPERLINK("https://klasma.github.io/Logging_1962/klagomålsmail/A 28307-2026 FSC-klagomål mail.docx", "A 28307-2026")</f>
        <v/>
      </c>
      <c r="AC24">
        <f>HYPERLINK("https://klasma.github.io/Logging_1962/tillsyn/A 28307-2026 tillsynsbegäran.docx", "A 28307-2026")</f>
        <v/>
      </c>
      <c r="AD24">
        <f>HYPERLINK("https://klasma.github.io/Logging_1962/tillsynsmail/A 28307-2026 tillsynsbegäran mail.docx", "A 28307-2026")</f>
        <v/>
      </c>
    </row>
    <row r="25" ht="15" customHeight="1">
      <c r="A25" t="inlineStr">
        <is>
          <t>A 36383-2026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46268</v>
      </c>
      <c r="E25" s="1" t="n">
        <v>46305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Plattlummer</t>
        </is>
      </c>
      <c r="W25">
        <f>HYPERLINK("https://klasma.github.io/Logging_1962/artfynd/A 36383-2026 artfynd.xlsx", "A 36383-2026")</f>
        <v/>
      </c>
      <c r="X25">
        <f>HYPERLINK("https://klasma.github.io/Logging_1962/kartor/A 36383-2026 karta.png", "A 36383-2026")</f>
        <v/>
      </c>
      <c r="Y25">
        <f>HYPERLINK("https://klasma.github.io/Logging_1962/kartor_geotiff/A 36383-2026 georefererad karta.tif", "A 36383-2026")</f>
        <v/>
      </c>
      <c r="AA25">
        <f>HYPERLINK("https://klasma.github.io/Logging_1962/klagomål/A 36383-2026 FSC-klagomål.docx", "A 36383-2026")</f>
        <v/>
      </c>
      <c r="AB25">
        <f>HYPERLINK("https://klasma.github.io/Logging_1962/klagomålsmail/A 36383-2026 FSC-klagomål mail.docx", "A 36383-2026")</f>
        <v/>
      </c>
      <c r="AC25">
        <f>HYPERLINK("https://klasma.github.io/Logging_1962/tillsyn/A 36383-2026 tillsynsbegäran.docx", "A 36383-2026")</f>
        <v/>
      </c>
      <c r="AD25">
        <f>HYPERLINK("https://klasma.github.io/Logging_1962/tillsynsmail/A 36383-2026 tillsynsbegäran mail.docx", "A 36383-2026")</f>
        <v/>
      </c>
    </row>
    <row r="26" ht="15" customHeight="1">
      <c r="A26" t="inlineStr">
        <is>
          <t>A 38927-2026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46305</v>
      </c>
      <c r="F26" t="inlineStr">
        <is>
          <t>VÄSTMANLANDS LÄN</t>
        </is>
      </c>
      <c r="G26" t="inlineStr">
        <is>
          <t>NORBERG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HYPERLINK("https://klasma.github.io/Logging_1962/artfynd/A 38927-2026 artfynd.xlsx", "A 38927-2026")</f>
        <v/>
      </c>
      <c r="X26">
        <f>HYPERLINK("https://klasma.github.io/Logging_1962/kartor/A 38927-2026 karta.png", "A 38927-2026")</f>
        <v/>
      </c>
      <c r="Y26">
        <f>HYPERLINK("https://klasma.github.io/Logging_1962/kartor_geotiff/A 38927-2026 georefererad karta.tif", "A 38927-2026")</f>
        <v/>
      </c>
      <c r="AA26">
        <f>HYPERLINK("https://klasma.github.io/Logging_1962/klagomål/A 38927-2026 FSC-klagomål.docx", "A 38927-2026")</f>
        <v/>
      </c>
      <c r="AB26">
        <f>HYPERLINK("https://klasma.github.io/Logging_1962/klagomålsmail/A 38927-2026 FSC-klagomål mail.docx", "A 38927-2026")</f>
        <v/>
      </c>
      <c r="AC26">
        <f>HYPERLINK("https://klasma.github.io/Logging_1962/tillsyn/A 38927-2026 tillsynsbegäran.docx", "A 38927-2026")</f>
        <v/>
      </c>
      <c r="AD26">
        <f>HYPERLINK("https://klasma.github.io/Logging_1962/tillsynsmail/A 38927-2026 tillsynsbegäran mail.docx", "A 38927-2026")</f>
        <v/>
      </c>
    </row>
    <row r="27" ht="15" customHeight="1">
      <c r="A27" t="inlineStr">
        <is>
          <t>A 34230-2026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46305</v>
      </c>
      <c r="F27" t="inlineStr">
        <is>
          <t>VÄSTMANLANDS LÄN</t>
        </is>
      </c>
      <c r="G27" t="inlineStr">
        <is>
          <t>NORBERG</t>
        </is>
      </c>
      <c r="I27" t="n">
        <v>2.4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Tvåblad</t>
        </is>
      </c>
      <c r="W27">
        <f>HYPERLINK("https://klasma.github.io/Logging_1962/artfynd/A 34230-2026 artfynd.xlsx", "A 34230-2026")</f>
        <v/>
      </c>
      <c r="X27">
        <f>HYPERLINK("https://klasma.github.io/Logging_1962/kartor/A 34230-2026 karta.png", "A 34230-2026")</f>
        <v/>
      </c>
      <c r="Y27">
        <f>HYPERLINK("https://klasma.github.io/Logging_1962/kartor_geotiff/A 34230-2026 georefererad karta.tif", "A 34230-2026")</f>
        <v/>
      </c>
      <c r="AA27">
        <f>HYPERLINK("https://klasma.github.io/Logging_1962/klagomål/A 34230-2026 FSC-klagomål.docx", "A 34230-2026")</f>
        <v/>
      </c>
      <c r="AB27">
        <f>HYPERLINK("https://klasma.github.io/Logging_1962/klagomålsmail/A 34230-2026 FSC-klagomål mail.docx", "A 34230-2026")</f>
        <v/>
      </c>
      <c r="AC27">
        <f>HYPERLINK("https://klasma.github.io/Logging_1962/tillsyn/A 34230-2026 tillsynsbegäran.docx", "A 34230-2026")</f>
        <v/>
      </c>
      <c r="AD27">
        <f>HYPERLINK("https://klasma.github.io/Logging_1962/tillsynsmail/A 34230-2026 tillsynsbegäran mail.docx", "A 34230-2026")</f>
        <v/>
      </c>
    </row>
    <row r="28" ht="15" customHeight="1">
      <c r="A28" t="inlineStr">
        <is>
          <t>A 34234-2026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46253</v>
      </c>
      <c r="E28" s="1" t="n">
        <v>46305</v>
      </c>
      <c r="F28" t="inlineStr">
        <is>
          <t>VÄSTMANLANDS LÄN</t>
        </is>
      </c>
      <c r="G28" t="inlineStr">
        <is>
          <t>NORBERG</t>
        </is>
      </c>
      <c r="I28" t="n">
        <v>0.8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Tvåblad</t>
        </is>
      </c>
      <c r="W28">
        <f>HYPERLINK("https://klasma.github.io/Logging_1962/artfynd/A 34234-2026 artfynd.xlsx", "A 34234-2026")</f>
        <v/>
      </c>
      <c r="X28">
        <f>HYPERLINK("https://klasma.github.io/Logging_1962/kartor/A 34234-2026 karta.png", "A 34234-2026")</f>
        <v/>
      </c>
      <c r="Y28">
        <f>HYPERLINK("https://klasma.github.io/Logging_1962/kartor_geotiff/A 34234-2026 georefererad karta.tif", "A 34234-2026")</f>
        <v/>
      </c>
      <c r="AA28">
        <f>HYPERLINK("https://klasma.github.io/Logging_1962/klagomål/A 34234-2026 FSC-klagomål.docx", "A 34234-2026")</f>
        <v/>
      </c>
      <c r="AB28">
        <f>HYPERLINK("https://klasma.github.io/Logging_1962/klagomålsmail/A 34234-2026 FSC-klagomål mail.docx", "A 34234-2026")</f>
        <v/>
      </c>
      <c r="AC28">
        <f>HYPERLINK("https://klasma.github.io/Logging_1962/tillsyn/A 34234-2026 tillsynsbegäran.docx", "A 34234-2026")</f>
        <v/>
      </c>
      <c r="AD28">
        <f>HYPERLINK("https://klasma.github.io/Logging_1962/tillsynsmail/A 34234-2026 tillsynsbegäran mail.docx", "A 34234-2026")</f>
        <v/>
      </c>
    </row>
    <row r="29" ht="15" customHeight="1">
      <c r="A29" t="inlineStr">
        <is>
          <t>A 41909-2026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46303</v>
      </c>
      <c r="E29" s="1" t="n">
        <v>46305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Plattlummer</t>
        </is>
      </c>
      <c r="W29">
        <f>HYPERLINK("https://klasma.github.io/Logging_1962/artfynd/A 41909-2026 artfynd.xlsx", "A 41909-2026")</f>
        <v/>
      </c>
      <c r="X29">
        <f>HYPERLINK("https://klasma.github.io/Logging_1962/kartor/A 41909-2026 karta.png", "A 41909-2026")</f>
        <v/>
      </c>
      <c r="Y29">
        <f>HYPERLINK("https://klasma.github.io/Logging_1962/kartor_geotiff/A 41909-2026 georefererad karta.tif", "A 41909-2026")</f>
        <v/>
      </c>
      <c r="AA29">
        <f>HYPERLINK("https://klasma.github.io/Logging_1962/klagomål/A 41909-2026 FSC-klagomål.docx", "A 41909-2026")</f>
        <v/>
      </c>
      <c r="AB29">
        <f>HYPERLINK("https://klasma.github.io/Logging_1962/klagomålsmail/A 41909-2026 FSC-klagomål mail.docx", "A 41909-2026")</f>
        <v/>
      </c>
      <c r="AC29">
        <f>HYPERLINK("https://klasma.github.io/Logging_1962/tillsyn/A 41909-2026 tillsynsbegäran.docx", "A 41909-2026")</f>
        <v/>
      </c>
      <c r="AD29">
        <f>HYPERLINK("https://klasma.github.io/Logging_1962/tillsynsmail/A 41909-2026 tillsynsbegäran mail.docx", "A 41909-2026")</f>
        <v/>
      </c>
    </row>
    <row r="30" ht="15" customHeight="1">
      <c r="A30" t="inlineStr">
        <is>
          <t>S 4857-2024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45608</v>
      </c>
      <c r="E30" s="1" t="n">
        <v>46305</v>
      </c>
      <c r="F30" t="inlineStr">
        <is>
          <t>VÄSTMANLANDS LÄN</t>
        </is>
      </c>
      <c r="G30" t="inlineStr">
        <is>
          <t>NORBERG</t>
        </is>
      </c>
      <c r="I30" t="n">
        <v>79.3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HYPERLINK("https://klasma.github.io/Logging_1962/artfynd/S 4857-2024 artfynd.xlsx", "S 4857-2024")</f>
        <v/>
      </c>
      <c r="X30">
        <f>HYPERLINK("https://klasma.github.io/Logging_1962/kartor/S 4857-2024 karta.png", "S 4857-2024")</f>
        <v/>
      </c>
      <c r="Y30">
        <f>HYPERLINK("https://klasma.github.io/Logging_1962/kartor_geotiff/S 4857-2024 georefererad karta.tif", "S 4857-2024")</f>
        <v/>
      </c>
      <c r="AA30">
        <f>HYPERLINK("https://klasma.github.io/Logging_1962/klagomål/S 4857-2024 FSC-klagomål.docx", "S 4857-2024")</f>
        <v/>
      </c>
      <c r="AB30">
        <f>HYPERLINK("https://klasma.github.io/Logging_1962/klagomålsmail/S 4857-2024 FSC-klagomål mail.docx", "S 4857-2024")</f>
        <v/>
      </c>
      <c r="AC30">
        <f>HYPERLINK("https://klasma.github.io/Logging_1962/tillsyn/S 4857-2024 tillsynsbegäran.docx", "S 4857-2024")</f>
        <v/>
      </c>
      <c r="AD30">
        <f>HYPERLINK("https://klasma.github.io/Logging_1962/tillsynsmail/S 4857-2024 tillsynsbegäran mail.docx", "S 4857-2024")</f>
        <v/>
      </c>
    </row>
    <row r="31" ht="15" customHeight="1">
      <c r="A31" t="inlineStr">
        <is>
          <t>S 920-2025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45737</v>
      </c>
      <c r="E31" s="1" t="n">
        <v>46305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Lopplummer (aggregat)</t>
        </is>
      </c>
      <c r="W31">
        <f>HYPERLINK("https://klasma.github.io/Logging_1962/artfynd/S 920-2025 artfynd.xlsx", "S 920-2025")</f>
        <v/>
      </c>
      <c r="X31">
        <f>HYPERLINK("https://klasma.github.io/Logging_1962/kartor/S 920-2025 karta.png", "S 920-2025")</f>
        <v/>
      </c>
      <c r="Y31">
        <f>HYPERLINK("https://klasma.github.io/Logging_1962/kartor_geotiff/S 920-2025 georefererad karta.tif", "S 920-2025")</f>
        <v/>
      </c>
      <c r="AA31">
        <f>HYPERLINK("https://klasma.github.io/Logging_1962/klagomål/S 920-2025 FSC-klagomål.docx", "S 920-2025")</f>
        <v/>
      </c>
      <c r="AB31">
        <f>HYPERLINK("https://klasma.github.io/Logging_1962/klagomålsmail/S 920-2025 FSC-klagomål mail.docx", "S 920-2025")</f>
        <v/>
      </c>
      <c r="AC31">
        <f>HYPERLINK("https://klasma.github.io/Logging_1962/tillsyn/S 920-2025 tillsynsbegäran.docx", "S 920-2025")</f>
        <v/>
      </c>
      <c r="AD31">
        <f>HYPERLINK("https://klasma.github.io/Logging_1962/tillsynsmail/S 920-2025 tillsynsbegäran mail.docx", "S 920-2025")</f>
        <v/>
      </c>
    </row>
    <row r="32" ht="15" customHeight="1">
      <c r="A32" t="inlineStr">
        <is>
          <t>A 51415-2022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44869</v>
      </c>
      <c r="E32" s="1" t="n">
        <v>46305</v>
      </c>
      <c r="F32" t="inlineStr">
        <is>
          <t>VÄSTMANLANDS LÄN</t>
        </is>
      </c>
      <c r="G32" t="inlineStr">
        <is>
          <t>NORBERG</t>
        </is>
      </c>
      <c r="H32" t="inlineStr">
        <is>
          <t>Övriga Aktiebolag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46305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49163-2022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46305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46305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52076-2022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44873</v>
      </c>
      <c r="E36" s="1" t="n">
        <v>46305</v>
      </c>
      <c r="F36" t="inlineStr">
        <is>
          <t>VÄSTMANLANDS LÄN</t>
        </is>
      </c>
      <c r="G36" t="inlineStr">
        <is>
          <t>NORBERG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44600</v>
      </c>
      <c r="E37" s="1" t="n">
        <v>46305</v>
      </c>
      <c r="F37" t="inlineStr">
        <is>
          <t>VÄSTMANLANDS LÄN</t>
        </is>
      </c>
      <c r="G37" t="inlineStr">
        <is>
          <t>NORBERG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46305</v>
      </c>
      <c r="F38" t="inlineStr">
        <is>
          <t>VÄSTMANLANDS LÄN</t>
        </is>
      </c>
      <c r="G38" t="inlineStr">
        <is>
          <t>NORBERG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44015-2022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44838</v>
      </c>
      <c r="E39" s="1" t="n">
        <v>46305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46305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9875-2022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44620</v>
      </c>
      <c r="E41" s="1" t="n">
        <v>46305</v>
      </c>
      <c r="F41" t="inlineStr">
        <is>
          <t>VÄSTMANLANDS LÄN</t>
        </is>
      </c>
      <c r="G41" t="inlineStr">
        <is>
          <t>NORBERG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46305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46305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46641-2022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44849</v>
      </c>
      <c r="E44" s="1" t="n">
        <v>46305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44635</v>
      </c>
      <c r="E45" s="1" t="n">
        <v>46305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46305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44578</v>
      </c>
      <c r="E47" s="1" t="n">
        <v>46305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20381-2023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45056</v>
      </c>
      <c r="E48" s="1" t="n">
        <v>46305</v>
      </c>
      <c r="F48" t="inlineStr">
        <is>
          <t>VÄSTMANLANDS LÄN</t>
        </is>
      </c>
      <c r="G48" t="inlineStr">
        <is>
          <t>NORBERG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45233</v>
      </c>
      <c r="E49" s="1" t="n">
        <v>46305</v>
      </c>
      <c r="F49" t="inlineStr">
        <is>
          <t>VÄSTMANLANDS LÄN</t>
        </is>
      </c>
      <c r="G49" t="inlineStr">
        <is>
          <t>NORBERG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45454</v>
      </c>
      <c r="E50" s="1" t="n">
        <v>46305</v>
      </c>
      <c r="F50" t="inlineStr">
        <is>
          <t>VÄSTMANLANDS LÄN</t>
        </is>
      </c>
      <c r="G50" t="inlineStr">
        <is>
          <t>NORBERG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67356-2021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46305</v>
      </c>
      <c r="F51" t="inlineStr">
        <is>
          <t>VÄSTMANLANDS LÄN</t>
        </is>
      </c>
      <c r="G51" t="inlineStr">
        <is>
          <t>NORBERG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46305</v>
      </c>
      <c r="F52" t="inlineStr">
        <is>
          <t>VÄSTMANLANDS LÄN</t>
        </is>
      </c>
      <c r="G52" t="inlineStr">
        <is>
          <t>NORBERG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28589-2023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46305</v>
      </c>
      <c r="F53" t="inlineStr">
        <is>
          <t>VÄSTMANLANDS LÄN</t>
        </is>
      </c>
      <c r="G53" t="inlineStr">
        <is>
          <t>NORBERG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44727</v>
      </c>
      <c r="E54" s="1" t="n">
        <v>46305</v>
      </c>
      <c r="F54" t="inlineStr">
        <is>
          <t>VÄSTMANLANDS LÄN</t>
        </is>
      </c>
      <c r="G54" t="inlineStr">
        <is>
          <t>NORBERG</t>
        </is>
      </c>
      <c r="H54" t="inlineStr">
        <is>
          <t>Bergvik skog väst AB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36443-2024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45537</v>
      </c>
      <c r="E55" s="1" t="n">
        <v>46305</v>
      </c>
      <c r="F55" t="inlineStr">
        <is>
          <t>VÄSTMANLANDS LÄN</t>
        </is>
      </c>
      <c r="G55" t="inlineStr">
        <is>
          <t>NORBERG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46305</v>
      </c>
      <c r="F56" t="inlineStr">
        <is>
          <t>VÄSTMANLANDS LÄN</t>
        </is>
      </c>
      <c r="G56" t="inlineStr">
        <is>
          <t>NORBERG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45474</v>
      </c>
      <c r="E57" s="1" t="n">
        <v>46305</v>
      </c>
      <c r="F57" t="inlineStr">
        <is>
          <t>VÄSTMANLANDS LÄN</t>
        </is>
      </c>
      <c r="G57" t="inlineStr">
        <is>
          <t>NORBERG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47753-2024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46305</v>
      </c>
      <c r="F58" t="inlineStr">
        <is>
          <t>VÄSTMANLANDS LÄN</t>
        </is>
      </c>
      <c r="G58" t="inlineStr">
        <is>
          <t>NORBERG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47610-2022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44852</v>
      </c>
      <c r="E59" s="1" t="n">
        <v>46305</v>
      </c>
      <c r="F59" t="inlineStr">
        <is>
          <t>VÄSTMANLANDS LÄN</t>
        </is>
      </c>
      <c r="G59" t="inlineStr">
        <is>
          <t>NORBERG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45191</v>
      </c>
      <c r="E60" s="1" t="n">
        <v>46305</v>
      </c>
      <c r="F60" t="inlineStr">
        <is>
          <t>VÄSTMANLANDS LÄN</t>
        </is>
      </c>
      <c r="G60" t="inlineStr">
        <is>
          <t>NORBERG</t>
        </is>
      </c>
      <c r="H60" t="inlineStr">
        <is>
          <t>Bergvik skog väst AB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46305</v>
      </c>
      <c r="F61" t="inlineStr">
        <is>
          <t>VÄSTMANLANDS LÄN</t>
        </is>
      </c>
      <c r="G61" t="inlineStr">
        <is>
          <t>NORBERG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45179</v>
      </c>
      <c r="E62" s="1" t="n">
        <v>46305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51790-2024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45607</v>
      </c>
      <c r="E63" s="1" t="n">
        <v>46305</v>
      </c>
      <c r="F63" t="inlineStr">
        <is>
          <t>VÄSTMANLANDS LÄN</t>
        </is>
      </c>
      <c r="G63" t="inlineStr">
        <is>
          <t>NORBERG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19377-2025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45769</v>
      </c>
      <c r="E64" s="1" t="n">
        <v>46305</v>
      </c>
      <c r="F64" t="inlineStr">
        <is>
          <t>VÄSTMANLANDS LÄN</t>
        </is>
      </c>
      <c r="G64" t="inlineStr">
        <is>
          <t>NORBERG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45320</v>
      </c>
      <c r="E65" s="1" t="n">
        <v>46305</v>
      </c>
      <c r="F65" t="inlineStr">
        <is>
          <t>VÄSTMANLANDS LÄN</t>
        </is>
      </c>
      <c r="G65" t="inlineStr">
        <is>
          <t>NORBERG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45316</v>
      </c>
      <c r="E66" s="1" t="n">
        <v>46305</v>
      </c>
      <c r="F66" t="inlineStr">
        <is>
          <t>VÄSTMANLANDS LÄN</t>
        </is>
      </c>
      <c r="G66" t="inlineStr">
        <is>
          <t>NORBERG</t>
        </is>
      </c>
      <c r="I66" t="n">
        <v>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36905-2023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45154</v>
      </c>
      <c r="E67" s="1" t="n">
        <v>46305</v>
      </c>
      <c r="F67" t="inlineStr">
        <is>
          <t>VÄSTMANLANDS LÄN</t>
        </is>
      </c>
      <c r="G67" t="inlineStr">
        <is>
          <t>NORBERG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45567</v>
      </c>
      <c r="E68" s="1" t="n">
        <v>46305</v>
      </c>
      <c r="F68" t="inlineStr">
        <is>
          <t>VÄSTMANLANDS LÄN</t>
        </is>
      </c>
      <c r="G68" t="inlineStr">
        <is>
          <t>NORBERG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58616-2024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45632</v>
      </c>
      <c r="E69" s="1" t="n">
        <v>46305</v>
      </c>
      <c r="F69" t="inlineStr">
        <is>
          <t>VÄSTMANLANDS LÄN</t>
        </is>
      </c>
      <c r="G69" t="inlineStr">
        <is>
          <t>NORBERG</t>
        </is>
      </c>
      <c r="H69" t="inlineStr">
        <is>
          <t>Bergvik skog väst AB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44691</v>
      </c>
      <c r="E70" s="1" t="n">
        <v>46305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45729</v>
      </c>
      <c r="E71" s="1" t="n">
        <v>46305</v>
      </c>
      <c r="F71" t="inlineStr">
        <is>
          <t>VÄSTMANLANDS LÄN</t>
        </is>
      </c>
      <c r="G71" t="inlineStr">
        <is>
          <t>NORBERG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46305</v>
      </c>
      <c r="F72" t="inlineStr">
        <is>
          <t>VÄSTMANLANDS LÄN</t>
        </is>
      </c>
      <c r="G72" t="inlineStr">
        <is>
          <t>NORBERG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45169</v>
      </c>
      <c r="E73" s="1" t="n">
        <v>46305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46305</v>
      </c>
      <c r="F74" t="inlineStr">
        <is>
          <t>VÄSTMANLANDS LÄN</t>
        </is>
      </c>
      <c r="G74" t="inlineStr">
        <is>
          <t>NORBERG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49763-2024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45597</v>
      </c>
      <c r="E75" s="1" t="n">
        <v>46305</v>
      </c>
      <c r="F75" t="inlineStr">
        <is>
          <t>VÄSTMANLANDS LÄN</t>
        </is>
      </c>
      <c r="G75" t="inlineStr">
        <is>
          <t>NORBERG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45034</v>
      </c>
      <c r="E76" s="1" t="n">
        <v>46305</v>
      </c>
      <c r="F76" t="inlineStr">
        <is>
          <t>VÄSTMANLANDS LÄN</t>
        </is>
      </c>
      <c r="G76" t="inlineStr">
        <is>
          <t>NORBERG</t>
        </is>
      </c>
      <c r="H76" t="inlineStr">
        <is>
          <t>Bergvik skog väst AB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44992</v>
      </c>
      <c r="E77" s="1" t="n">
        <v>46305</v>
      </c>
      <c r="F77" t="inlineStr">
        <is>
          <t>VÄSTMANLANDS LÄN</t>
        </is>
      </c>
      <c r="G77" t="inlineStr">
        <is>
          <t>NORBERG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45607</v>
      </c>
      <c r="E78" s="1" t="n">
        <v>46305</v>
      </c>
      <c r="F78" t="inlineStr">
        <is>
          <t>VÄSTMANLANDS LÄN</t>
        </is>
      </c>
      <c r="G78" t="inlineStr">
        <is>
          <t>NORBERG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46305</v>
      </c>
      <c r="F79" t="inlineStr">
        <is>
          <t>VÄSTMANLANDS LÄN</t>
        </is>
      </c>
      <c r="G79" t="inlineStr">
        <is>
          <t>NORBERG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45588</v>
      </c>
      <c r="E80" s="1" t="n">
        <v>46305</v>
      </c>
      <c r="F80" t="inlineStr">
        <is>
          <t>VÄSTMANLANDS LÄN</t>
        </is>
      </c>
      <c r="G80" t="inlineStr">
        <is>
          <t>NORBERG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45065-2023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45191</v>
      </c>
      <c r="E81" s="1" t="n">
        <v>46305</v>
      </c>
      <c r="F81" t="inlineStr">
        <is>
          <t>VÄSTMANLANDS LÄN</t>
        </is>
      </c>
      <c r="G81" t="inlineStr">
        <is>
          <t>NORBERG</t>
        </is>
      </c>
      <c r="H81" t="inlineStr">
        <is>
          <t>Bergvik skog väst AB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46305</v>
      </c>
      <c r="F82" t="inlineStr">
        <is>
          <t>VÄSTMANLANDS LÄN</t>
        </is>
      </c>
      <c r="G82" t="inlineStr">
        <is>
          <t>NORBERG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20378-2023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45056</v>
      </c>
      <c r="E83" s="1" t="n">
        <v>46305</v>
      </c>
      <c r="F83" t="inlineStr">
        <is>
          <t>VÄSTMANLANDS LÄN</t>
        </is>
      </c>
      <c r="G83" t="inlineStr">
        <is>
          <t>NORBERG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46041-2023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46305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43103-2024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45567</v>
      </c>
      <c r="E85" s="1" t="n">
        <v>46305</v>
      </c>
      <c r="F85" t="inlineStr">
        <is>
          <t>VÄSTMANLANDS LÄN</t>
        </is>
      </c>
      <c r="G85" t="inlineStr">
        <is>
          <t>NORBERG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46305</v>
      </c>
      <c r="F86" t="inlineStr">
        <is>
          <t>VÄSTMANLANDS LÄN</t>
        </is>
      </c>
      <c r="G86" t="inlineStr">
        <is>
          <t>NORBERG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21543-2023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46305</v>
      </c>
      <c r="F87" t="inlineStr">
        <is>
          <t>VÄSTMANLANDS LÄN</t>
        </is>
      </c>
      <c r="G87" t="inlineStr">
        <is>
          <t>NORBERG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46305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8.800000000000001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46305</v>
      </c>
      <c r="F89" t="inlineStr">
        <is>
          <t>VÄSTMANLANDS LÄN</t>
        </is>
      </c>
      <c r="G89" t="inlineStr">
        <is>
          <t>NORBERG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46305</v>
      </c>
      <c r="F90" t="inlineStr">
        <is>
          <t>VÄSTMANLANDS LÄN</t>
        </is>
      </c>
      <c r="G90" t="inlineStr">
        <is>
          <t>NORBERG</t>
        </is>
      </c>
      <c r="H90" t="inlineStr">
        <is>
          <t>Övriga Aktiebolag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45792</v>
      </c>
      <c r="E91" s="1" t="n">
        <v>46305</v>
      </c>
      <c r="F91" t="inlineStr">
        <is>
          <t>VÄSTMANLANDS LÄN</t>
        </is>
      </c>
      <c r="G91" t="inlineStr">
        <is>
          <t>NORBERG</t>
        </is>
      </c>
      <c r="H91" t="inlineStr">
        <is>
          <t>Övriga Aktiebolag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16042-2024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45405</v>
      </c>
      <c r="E92" s="1" t="n">
        <v>46305</v>
      </c>
      <c r="F92" t="inlineStr">
        <is>
          <t>VÄSTMANLANDS LÄN</t>
        </is>
      </c>
      <c r="G92" t="inlineStr">
        <is>
          <t>NORBERG</t>
        </is>
      </c>
      <c r="I92" t="n">
        <v>7.7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48396-2023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46305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37200-2023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45155</v>
      </c>
      <c r="E94" s="1" t="n">
        <v>46305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46305</v>
      </c>
      <c r="F95" t="inlineStr">
        <is>
          <t>VÄSTMANLANDS LÄN</t>
        </is>
      </c>
      <c r="G95" t="inlineStr">
        <is>
          <t>NORBERG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44973</v>
      </c>
      <c r="E96" s="1" t="n">
        <v>46305</v>
      </c>
      <c r="F96" t="inlineStr">
        <is>
          <t>VÄSTMANLANDS LÄN</t>
        </is>
      </c>
      <c r="G96" t="inlineStr">
        <is>
          <t>NORBERG</t>
        </is>
      </c>
      <c r="H96" t="inlineStr">
        <is>
          <t>Övriga Aktiebolag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32524-2023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45121</v>
      </c>
      <c r="E97" s="1" t="n">
        <v>46305</v>
      </c>
      <c r="F97" t="inlineStr">
        <is>
          <t>VÄSTMANLANDS LÄN</t>
        </is>
      </c>
      <c r="G97" t="inlineStr">
        <is>
          <t>NORBERG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46305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9.300000000000001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46305</v>
      </c>
      <c r="F99" t="inlineStr">
        <is>
          <t>VÄSTMANLANDS LÄN</t>
        </is>
      </c>
      <c r="G99" t="inlineStr">
        <is>
          <t>NORBERG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45440</v>
      </c>
      <c r="E100" s="1" t="n">
        <v>46305</v>
      </c>
      <c r="F100" t="inlineStr">
        <is>
          <t>VÄSTMANLANDS LÄN</t>
        </is>
      </c>
      <c r="G100" t="inlineStr">
        <is>
          <t>NORBERG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46305</v>
      </c>
      <c r="F101" t="inlineStr">
        <is>
          <t>VÄSTMANLANDS LÄN</t>
        </is>
      </c>
      <c r="G101" t="inlineStr">
        <is>
          <t>NORBERG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46305</v>
      </c>
      <c r="F102" t="inlineStr">
        <is>
          <t>VÄSTMANLANDS LÄN</t>
        </is>
      </c>
      <c r="G102" t="inlineStr">
        <is>
          <t>NORBERG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46045-2023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46305</v>
      </c>
      <c r="F103" t="inlineStr">
        <is>
          <t>VÄSTMANLANDS LÄN</t>
        </is>
      </c>
      <c r="G103" t="inlineStr">
        <is>
          <t>NORBERG</t>
        </is>
      </c>
      <c r="H103" t="inlineStr">
        <is>
          <t>Bergvik skog väst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45613</v>
      </c>
      <c r="E104" s="1" t="n">
        <v>46305</v>
      </c>
      <c r="F104" t="inlineStr">
        <is>
          <t>VÄSTMANLANDS LÄN</t>
        </is>
      </c>
      <c r="G104" t="inlineStr">
        <is>
          <t>NORBERG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45607</v>
      </c>
      <c r="E105" s="1" t="n">
        <v>46305</v>
      </c>
      <c r="F105" t="inlineStr">
        <is>
          <t>VÄSTMANLANDS LÄN</t>
        </is>
      </c>
      <c r="G105" t="inlineStr">
        <is>
          <t>NORBERG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46305</v>
      </c>
      <c r="F106" t="inlineStr">
        <is>
          <t>VÄSTMANLANDS LÄN</t>
        </is>
      </c>
      <c r="G106" t="inlineStr">
        <is>
          <t>NORBERG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46305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46305</v>
      </c>
      <c r="F108" t="inlineStr">
        <is>
          <t>VÄSTMANLANDS LÄN</t>
        </is>
      </c>
      <c r="G108" t="inlineStr">
        <is>
          <t>NORBERG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46305</v>
      </c>
      <c r="F109" t="inlineStr">
        <is>
          <t>VÄSTMANLANDS LÄN</t>
        </is>
      </c>
      <c r="G109" t="inlineStr">
        <is>
          <t>NORBERG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45408</v>
      </c>
      <c r="E110" s="1" t="n">
        <v>46305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46305</v>
      </c>
      <c r="F111" t="inlineStr">
        <is>
          <t>VÄSTMANLANDS LÄN</t>
        </is>
      </c>
      <c r="G111" t="inlineStr">
        <is>
          <t>NORBERG</t>
        </is>
      </c>
      <c r="H111" t="inlineStr">
        <is>
          <t>Övriga Aktiebolag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54670-2025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46305</v>
      </c>
      <c r="F112" t="inlineStr">
        <is>
          <t>VÄSTMANLANDS LÄN</t>
        </is>
      </c>
      <c r="G112" t="inlineStr">
        <is>
          <t>NORBERG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46305</v>
      </c>
      <c r="F113" t="inlineStr">
        <is>
          <t>VÄSTMANLANDS LÄN</t>
        </is>
      </c>
      <c r="G113" t="inlineStr">
        <is>
          <t>NORBERG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46305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46305</v>
      </c>
      <c r="F115" t="inlineStr">
        <is>
          <t>VÄSTMANLANDS LÄN</t>
        </is>
      </c>
      <c r="G115" t="inlineStr">
        <is>
          <t>NORBERG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45155</v>
      </c>
      <c r="E116" s="1" t="n">
        <v>46305</v>
      </c>
      <c r="F116" t="inlineStr">
        <is>
          <t>VÄSTMANLANDS LÄN</t>
        </is>
      </c>
      <c r="G116" t="inlineStr">
        <is>
          <t>NORBERG</t>
        </is>
      </c>
      <c r="H116" t="inlineStr">
        <is>
          <t>Övriga Aktiebolag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45679</v>
      </c>
      <c r="E117" s="1" t="n">
        <v>46305</v>
      </c>
      <c r="F117" t="inlineStr">
        <is>
          <t>VÄSTMANLANDS LÄN</t>
        </is>
      </c>
      <c r="G117" t="inlineStr">
        <is>
          <t>NORBERG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46305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46305</v>
      </c>
      <c r="F119" t="inlineStr">
        <is>
          <t>VÄSTMANLANDS LÄN</t>
        </is>
      </c>
      <c r="G119" t="inlineStr">
        <is>
          <t>NORBERG</t>
        </is>
      </c>
      <c r="H119" t="inlineStr">
        <is>
          <t>Övriga Aktiebolag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45705</v>
      </c>
      <c r="E120" s="1" t="n">
        <v>46305</v>
      </c>
      <c r="F120" t="inlineStr">
        <is>
          <t>VÄSTMANLANDS LÄN</t>
        </is>
      </c>
      <c r="G120" t="inlineStr">
        <is>
          <t>NORBERG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73797-2021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44552</v>
      </c>
      <c r="E121" s="1" t="n">
        <v>46305</v>
      </c>
      <c r="F121" t="inlineStr">
        <is>
          <t>VÄSTMANLANDS LÄN</t>
        </is>
      </c>
      <c r="G121" t="inlineStr">
        <is>
          <t>NORBERG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46305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45730</v>
      </c>
      <c r="E123" s="1" t="n">
        <v>46305</v>
      </c>
      <c r="F123" t="inlineStr">
        <is>
          <t>VÄSTMANLANDS LÄN</t>
        </is>
      </c>
      <c r="G123" t="inlineStr">
        <is>
          <t>NORBERG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46305</v>
      </c>
      <c r="F124" t="inlineStr">
        <is>
          <t>VÄSTMANLANDS LÄN</t>
        </is>
      </c>
      <c r="G124" t="inlineStr">
        <is>
          <t>NORBERG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46305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45200</v>
      </c>
      <c r="E126" s="1" t="n">
        <v>46305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46305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15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46305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14234-2026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46099</v>
      </c>
      <c r="E129" s="1" t="n">
        <v>46305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46305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15261-2026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46105</v>
      </c>
      <c r="E131" s="1" t="n">
        <v>46305</v>
      </c>
      <c r="F131" t="inlineStr">
        <is>
          <t>VÄSTMANLANDS LÄN</t>
        </is>
      </c>
      <c r="G131" t="inlineStr">
        <is>
          <t>NORBERG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46105</v>
      </c>
      <c r="E132" s="1" t="n">
        <v>46305</v>
      </c>
      <c r="F132" t="inlineStr">
        <is>
          <t>VÄSTMANLANDS LÄN</t>
        </is>
      </c>
      <c r="G132" t="inlineStr">
        <is>
          <t>NORBERG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46105</v>
      </c>
      <c r="E133" s="1" t="n">
        <v>46305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45631</v>
      </c>
      <c r="E134" s="1" t="n">
        <v>46305</v>
      </c>
      <c r="F134" t="inlineStr">
        <is>
          <t>VÄSTMANLANDS LÄN</t>
        </is>
      </c>
      <c r="G134" t="inlineStr">
        <is>
          <t>NORBERG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27580-2024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45474</v>
      </c>
      <c r="E135" s="1" t="n">
        <v>46305</v>
      </c>
      <c r="F135" t="inlineStr">
        <is>
          <t>VÄSTMANLANDS LÄN</t>
        </is>
      </c>
      <c r="G135" t="inlineStr">
        <is>
          <t>NORBERG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63505-2023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45274</v>
      </c>
      <c r="E136" s="1" t="n">
        <v>46305</v>
      </c>
      <c r="F136" t="inlineStr">
        <is>
          <t>VÄSTMANLANDS LÄN</t>
        </is>
      </c>
      <c r="G136" t="inlineStr">
        <is>
          <t>NORBERG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15981-2026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46108</v>
      </c>
      <c r="E137" s="1" t="n">
        <v>46305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46305</v>
      </c>
      <c r="F138" t="inlineStr">
        <is>
          <t>VÄSTMANLANDS LÄN</t>
        </is>
      </c>
      <c r="G138" t="inlineStr">
        <is>
          <t>NORBERG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16383-2026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46305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46305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46305</v>
      </c>
      <c r="F141" t="inlineStr">
        <is>
          <t>VÄSTMANLANDS LÄN</t>
        </is>
      </c>
      <c r="G141" t="inlineStr">
        <is>
          <t>NORBERG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46305</v>
      </c>
      <c r="F142" t="inlineStr">
        <is>
          <t>VÄSTMANLANDS LÄN</t>
        </is>
      </c>
      <c r="G142" t="inlineStr">
        <is>
          <t>NORBERG</t>
        </is>
      </c>
      <c r="H142" t="inlineStr">
        <is>
          <t>Övriga Aktiebolag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46305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46114</v>
      </c>
      <c r="E144" s="1" t="n">
        <v>46305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46119</v>
      </c>
      <c r="E145" s="1" t="n">
        <v>46305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46305</v>
      </c>
      <c r="F146" t="inlineStr">
        <is>
          <t>VÄSTMANLANDS LÄN</t>
        </is>
      </c>
      <c r="G146" t="inlineStr">
        <is>
          <t>NORBERG</t>
        </is>
      </c>
      <c r="I146" t="n">
        <v>22.4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46305</v>
      </c>
      <c r="F147" t="inlineStr">
        <is>
          <t>VÄSTMANLANDS LÄN</t>
        </is>
      </c>
      <c r="G147" t="inlineStr">
        <is>
          <t>NORBERG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46305</v>
      </c>
      <c r="F148" t="inlineStr">
        <is>
          <t>VÄSTMANLANDS LÄN</t>
        </is>
      </c>
      <c r="G148" t="inlineStr">
        <is>
          <t>NORBERG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45200</v>
      </c>
      <c r="E149" s="1" t="n">
        <v>46305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62882-2025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46305</v>
      </c>
      <c r="F150" t="inlineStr">
        <is>
          <t>VÄSTMANLANDS LÄN</t>
        </is>
      </c>
      <c r="G150" t="inlineStr">
        <is>
          <t>NORBERG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46014</v>
      </c>
      <c r="E151" s="1" t="n">
        <v>46305</v>
      </c>
      <c r="F151" t="inlineStr">
        <is>
          <t>VÄSTMANLANDS LÄN</t>
        </is>
      </c>
      <c r="G151" t="inlineStr">
        <is>
          <t>NORBERG</t>
        </is>
      </c>
      <c r="I151" t="n">
        <v>22.8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46014</v>
      </c>
      <c r="E152" s="1" t="n">
        <v>46305</v>
      </c>
      <c r="F152" t="inlineStr">
        <is>
          <t>VÄSTMANLANDS LÄN</t>
        </is>
      </c>
      <c r="G152" t="inlineStr">
        <is>
          <t>NORBERG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46305</v>
      </c>
      <c r="F153" t="inlineStr">
        <is>
          <t>VÄSTMANLANDS LÄN</t>
        </is>
      </c>
      <c r="G153" t="inlineStr">
        <is>
          <t>NORBERG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46305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56940-2021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44480</v>
      </c>
      <c r="E155" s="1" t="n">
        <v>46305</v>
      </c>
      <c r="F155" t="inlineStr">
        <is>
          <t>VÄSTMANLANDS LÄN</t>
        </is>
      </c>
      <c r="G155" t="inlineStr">
        <is>
          <t>NORBERG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40232-2024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45554</v>
      </c>
      <c r="E156" s="1" t="n">
        <v>46305</v>
      </c>
      <c r="F156" t="inlineStr">
        <is>
          <t>VÄSTMANLANDS LÄN</t>
        </is>
      </c>
      <c r="G156" t="inlineStr">
        <is>
          <t>NORBERG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46305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45598</v>
      </c>
      <c r="E158" s="1" t="n">
        <v>46305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46305</v>
      </c>
      <c r="F159" t="inlineStr">
        <is>
          <t>VÄSTMANLANDS LÄN</t>
        </is>
      </c>
      <c r="G159" t="inlineStr">
        <is>
          <t>NORBERG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20968-2026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46142</v>
      </c>
      <c r="E160" s="1" t="n">
        <v>46305</v>
      </c>
      <c r="F160" t="inlineStr">
        <is>
          <t>VÄSTMANLANDS LÄN</t>
        </is>
      </c>
      <c r="G160" t="inlineStr">
        <is>
          <t>NORBERG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46305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12.1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46305</v>
      </c>
      <c r="F162" t="inlineStr">
        <is>
          <t>VÄSTMANLANDS LÄN</t>
        </is>
      </c>
      <c r="G162" t="inlineStr">
        <is>
          <t>NORBERG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46305</v>
      </c>
      <c r="F163" t="inlineStr">
        <is>
          <t>VÄSTMANLANDS LÄN</t>
        </is>
      </c>
      <c r="G163" t="inlineStr">
        <is>
          <t>NORBERG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60339-2025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45994</v>
      </c>
      <c r="E164" s="1" t="n">
        <v>46305</v>
      </c>
      <c r="F164" t="inlineStr">
        <is>
          <t>VÄSTMANLANDS LÄN</t>
        </is>
      </c>
      <c r="G164" t="inlineStr">
        <is>
          <t>NORBERG</t>
        </is>
      </c>
      <c r="H164" t="inlineStr">
        <is>
          <t>Kommuner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46305</v>
      </c>
      <c r="F165" t="inlineStr">
        <is>
          <t>VÄSTMANLANDS LÄN</t>
        </is>
      </c>
      <c r="G165" t="inlineStr">
        <is>
          <t>NORBERG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46305</v>
      </c>
      <c r="F166" t="inlineStr">
        <is>
          <t>VÄSTMANLANDS LÄN</t>
        </is>
      </c>
      <c r="G166" t="inlineStr">
        <is>
          <t>NORBERG</t>
        </is>
      </c>
      <c r="H166" t="inlineStr">
        <is>
          <t>Bergvik skog väst AB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46093</v>
      </c>
      <c r="E167" s="1" t="n">
        <v>46305</v>
      </c>
      <c r="F167" t="inlineStr">
        <is>
          <t>VÄSTMANLANDS LÄN</t>
        </is>
      </c>
      <c r="G167" t="inlineStr">
        <is>
          <t>NORBERG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56400-2025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45974</v>
      </c>
      <c r="E168" s="1" t="n">
        <v>46305</v>
      </c>
      <c r="F168" t="inlineStr">
        <is>
          <t>VÄSTMANLANDS LÄN</t>
        </is>
      </c>
      <c r="G168" t="inlineStr">
        <is>
          <t>NORBERG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46176</v>
      </c>
      <c r="E169" s="1" t="n">
        <v>46305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46305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46305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46190</v>
      </c>
      <c r="E172" s="1" t="n">
        <v>46305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46305</v>
      </c>
      <c r="F173" t="inlineStr">
        <is>
          <t>VÄSTMANLANDS LÄN</t>
        </is>
      </c>
      <c r="G173" t="inlineStr">
        <is>
          <t>NORBERG</t>
        </is>
      </c>
      <c r="H173" t="inlineStr">
        <is>
          <t>Övriga Aktiebolag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46305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46223</v>
      </c>
      <c r="E175" s="1" t="n">
        <v>46305</v>
      </c>
      <c r="F175" t="inlineStr">
        <is>
          <t>VÄSTMANLANDS LÄN</t>
        </is>
      </c>
      <c r="G175" t="inlineStr">
        <is>
          <t>NORBERG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46305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46268</v>
      </c>
      <c r="E177" s="1" t="n">
        <v>46305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8.9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46268</v>
      </c>
      <c r="E178" s="1" t="n">
        <v>46305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46305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28608-2026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46305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31967-2026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46232</v>
      </c>
      <c r="E181" s="1" t="n">
        <v>46305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46232</v>
      </c>
      <c r="E182" s="1" t="n">
        <v>46305</v>
      </c>
      <c r="F182" t="inlineStr">
        <is>
          <t>VÄSTMANLANDS LÄN</t>
        </is>
      </c>
      <c r="G182" t="inlineStr">
        <is>
          <t>NORBERG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46233</v>
      </c>
      <c r="E183" s="1" t="n">
        <v>46305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32385-2026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46238</v>
      </c>
      <c r="E184" s="1" t="n">
        <v>46305</v>
      </c>
      <c r="F184" t="inlineStr">
        <is>
          <t>VÄSTMANLANDS LÄN</t>
        </is>
      </c>
      <c r="G184" t="inlineStr">
        <is>
          <t>NORBERG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46305</v>
      </c>
      <c r="F185" t="inlineStr">
        <is>
          <t>VÄSTMANLANDS LÄN</t>
        </is>
      </c>
      <c r="G185" t="inlineStr">
        <is>
          <t>NORBERG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45586</v>
      </c>
      <c r="E186" s="1" t="n">
        <v>46305</v>
      </c>
      <c r="F186" t="inlineStr">
        <is>
          <t>VÄSTMANLANDS LÄN</t>
        </is>
      </c>
      <c r="G186" t="inlineStr">
        <is>
          <t>NORBERG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46266</v>
      </c>
      <c r="E187" s="1" t="n">
        <v>46305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46305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46305</v>
      </c>
      <c r="F189" t="inlineStr">
        <is>
          <t>VÄSTMANLANDS LÄN</t>
        </is>
      </c>
      <c r="G189" t="inlineStr">
        <is>
          <t>NORBERG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13465-2026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46093</v>
      </c>
      <c r="E190" s="1" t="n">
        <v>46305</v>
      </c>
      <c r="F190" t="inlineStr">
        <is>
          <t>VÄSTMANLANDS LÄN</t>
        </is>
      </c>
      <c r="G190" t="inlineStr">
        <is>
          <t>NORBERG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45454</v>
      </c>
      <c r="E191" s="1" t="n">
        <v>46305</v>
      </c>
      <c r="F191" t="inlineStr">
        <is>
          <t>VÄSTMANLANDS LÄN</t>
        </is>
      </c>
      <c r="G191" t="inlineStr">
        <is>
          <t>NORBERG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46305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46303</v>
      </c>
      <c r="E193" s="1" t="n">
        <v>46305</v>
      </c>
      <c r="F193" t="inlineStr">
        <is>
          <t>VÄSTMANLANDS LÄN</t>
        </is>
      </c>
      <c r="G193" t="inlineStr">
        <is>
          <t>NORBERG</t>
        </is>
      </c>
      <c r="H193" t="inlineStr">
        <is>
          <t>Sveaskog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46303</v>
      </c>
      <c r="E194" s="1" t="n">
        <v>46305</v>
      </c>
      <c r="F194" t="inlineStr">
        <is>
          <t>VÄSTMANLANDS LÄN</t>
        </is>
      </c>
      <c r="G194" t="inlineStr">
        <is>
          <t>NORBERG</t>
        </is>
      </c>
      <c r="H194" t="inlineStr">
        <is>
          <t>Sveaskog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46303</v>
      </c>
      <c r="E195" s="1" t="n">
        <v>46305</v>
      </c>
      <c r="F195" t="inlineStr">
        <is>
          <t>VÄSTMANLANDS LÄN</t>
        </is>
      </c>
      <c r="G195" t="inlineStr">
        <is>
          <t>NORBERG</t>
        </is>
      </c>
      <c r="H195" t="inlineStr">
        <is>
          <t>Sveaskog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409-2022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46305</v>
      </c>
      <c r="F196" t="inlineStr">
        <is>
          <t>VÄSTMANLANDS LÄN</t>
        </is>
      </c>
      <c r="G196" t="inlineStr">
        <is>
          <t>NORBERG</t>
        </is>
      </c>
      <c r="H196" t="inlineStr">
        <is>
          <t>Bergvik skog väst AB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606-2026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46085</v>
      </c>
      <c r="E197" s="1" t="n">
        <v>46305</v>
      </c>
      <c r="F197" t="inlineStr">
        <is>
          <t>VÄSTMANLANDS LÄN</t>
        </is>
      </c>
      <c r="G197" t="inlineStr">
        <is>
          <t>NORBERG</t>
        </is>
      </c>
      <c r="H197" t="inlineStr">
        <is>
          <t>Bergvik skog väst AB</t>
        </is>
      </c>
      <c r="I197" t="n">
        <v>26.4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>
      <c r="A198" t="inlineStr">
        <is>
          <t>S 2097-2026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46238</v>
      </c>
      <c r="E198" s="1" t="n">
        <v>46305</v>
      </c>
      <c r="F198" t="inlineStr">
        <is>
          <t>VÄSTMANLANDS LÄN</t>
        </is>
      </c>
      <c r="G198" t="inlineStr">
        <is>
          <t>NORBERG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2026-10-10T02:06:51Z</dcterms:created>
  <dcterms:modified xmlns:dcterms="http://purl.org/dc/terms/" xmlns:xsi="http://www.w3.org/2001/XMLSchema-instance" xsi:type="dcterms:W3CDTF">2026-10-10T02:06:51Z</dcterms:modified>
</cp:coreProperties>
</file>