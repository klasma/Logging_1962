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46306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46306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46306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46306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46306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46306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46306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41901-2026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46303</v>
      </c>
      <c r="E13" s="1" t="n">
        <v>46306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Skogshakmossa
Fläcknycklar</t>
        </is>
      </c>
      <c r="W13">
        <f>HYPERLINK("https://klasma.github.io/Logging_1962/artfynd/A 41901-2026 artfynd.xlsx", "A 41901-2026")</f>
        <v/>
      </c>
      <c r="X13">
        <f>HYPERLINK("https://klasma.github.io/Logging_1962/kartor/A 41901-2026 karta.png", "A 41901-2026")</f>
        <v/>
      </c>
      <c r="Y13">
        <f>HYPERLINK("https://klasma.github.io/Logging_1962/kartor_geotiff/A 41901-2026 georefererad karta.tif", "A 41901-2026")</f>
        <v/>
      </c>
      <c r="AA13">
        <f>HYPERLINK("https://klasma.github.io/Logging_1962/klagomål/A 41901-2026 FSC-klagomål.docx", "A 41901-2026")</f>
        <v/>
      </c>
      <c r="AB13">
        <f>HYPERLINK("https://klasma.github.io/Logging_1962/klagomålsmail/A 41901-2026 FSC-klagomål mail.docx", "A 41901-2026")</f>
        <v/>
      </c>
      <c r="AC13">
        <f>HYPERLINK("https://klasma.github.io/Logging_1962/tillsyn/A 41901-2026 tillsynsbegäran.docx", "A 41901-2026")</f>
        <v/>
      </c>
      <c r="AD13">
        <f>HYPERLINK("https://klasma.github.io/Logging_1962/tillsynsmail/A 41901-2026 tillsynsbegäran mail.docx", "A 41901-2026")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46306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46306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46306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46306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46306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56936-2021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44480</v>
      </c>
      <c r="E20" s="1" t="n">
        <v>46306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HYPERLINK("https://klasma.github.io/Logging_1962/artfynd/A 56936-2021 artfynd.xlsx", "A 56936-2021")</f>
        <v/>
      </c>
      <c r="X20">
        <f>HYPERLINK("https://klasma.github.io/Logging_1962/kartor/A 56936-2021 karta.png", "A 56936-2021")</f>
        <v/>
      </c>
      <c r="Y20">
        <f>HYPERLINK("https://klasma.github.io/Logging_1962/kartor_geotiff/A 56936-2021 georefererad karta.tif", "A 56936-2021")</f>
        <v/>
      </c>
      <c r="AA20">
        <f>HYPERLINK("https://klasma.github.io/Logging_1962/klagomål/A 56936-2021 FSC-klagomål.docx", "A 56936-2021")</f>
        <v/>
      </c>
      <c r="AB20">
        <f>HYPERLINK("https://klasma.github.io/Logging_1962/klagomålsmail/A 56936-2021 FSC-klagomål mail.docx", "A 56936-2021")</f>
        <v/>
      </c>
      <c r="AC20">
        <f>HYPERLINK("https://klasma.github.io/Logging_1962/tillsyn/A 56936-2021 tillsynsbegäran.docx", "A 56936-2021")</f>
        <v/>
      </c>
      <c r="AD20">
        <f>HYPERLINK("https://klasma.github.io/Logging_1962/tillsynsmail/A 56936-2021 tillsynsbegäran mail.docx", "A 56936-2021")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46306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38017-2025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45882</v>
      </c>
      <c r="E22" s="1" t="n">
        <v>46306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15.5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HYPERLINK("https://klasma.github.io/Logging_1962/artfynd/A 38017-2025 artfynd.xlsx", "A 38017-2025")</f>
        <v/>
      </c>
      <c r="X22">
        <f>HYPERLINK("https://klasma.github.io/Logging_1962/kartor/A 38017-2025 karta.png", "A 38017-2025")</f>
        <v/>
      </c>
      <c r="Y22">
        <f>HYPERLINK("https://klasma.github.io/Logging_1962/kartor_geotiff/A 38017-2025 georefererad karta.tif", "A 38017-2025")</f>
        <v/>
      </c>
      <c r="AA22">
        <f>HYPERLINK("https://klasma.github.io/Logging_1962/klagomål/A 38017-2025 FSC-klagomål.docx", "A 38017-2025")</f>
        <v/>
      </c>
      <c r="AB22">
        <f>HYPERLINK("https://klasma.github.io/Logging_1962/klagomålsmail/A 38017-2025 FSC-klagomål mail.docx", "A 38017-2025")</f>
        <v/>
      </c>
      <c r="AC22">
        <f>HYPERLINK("https://klasma.github.io/Logging_1962/tillsyn/A 38017-2025 tillsynsbegäran.docx", "A 38017-2025")</f>
        <v/>
      </c>
      <c r="AD22">
        <f>HYPERLINK("https://klasma.github.io/Logging_1962/tillsynsmail/A 38017-2025 tillsynsbegäran mail.docx", "A 38017-2025")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46306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46306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46306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46306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34230-2026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46306</v>
      </c>
      <c r="F27" t="inlineStr">
        <is>
          <t>VÄSTMANLANDS LÄN</t>
        </is>
      </c>
      <c r="G27" t="inlineStr">
        <is>
          <t>NORBERG</t>
        </is>
      </c>
      <c r="I27" t="n">
        <v>2.4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34230-2026 artfynd.xlsx", "A 34230-2026")</f>
        <v/>
      </c>
      <c r="X27">
        <f>HYPERLINK("https://klasma.github.io/Logging_1962/kartor/A 34230-2026 karta.png", "A 34230-2026")</f>
        <v/>
      </c>
      <c r="Y27">
        <f>HYPERLINK("https://klasma.github.io/Logging_1962/kartor_geotiff/A 34230-2026 georefererad karta.tif", "A 34230-2026")</f>
        <v/>
      </c>
      <c r="AA27">
        <f>HYPERLINK("https://klasma.github.io/Logging_1962/klagomål/A 34230-2026 FSC-klagomål.docx", "A 34230-2026")</f>
        <v/>
      </c>
      <c r="AB27">
        <f>HYPERLINK("https://klasma.github.io/Logging_1962/klagomålsmail/A 34230-2026 FSC-klagomål mail.docx", "A 34230-2026")</f>
        <v/>
      </c>
      <c r="AC27">
        <f>HYPERLINK("https://klasma.github.io/Logging_1962/tillsyn/A 34230-2026 tillsynsbegäran.docx", "A 34230-2026")</f>
        <v/>
      </c>
      <c r="AD27">
        <f>HYPERLINK("https://klasma.github.io/Logging_1962/tillsynsmail/A 34230-2026 tillsynsbegäran mail.docx", "A 34230-2026")</f>
        <v/>
      </c>
    </row>
    <row r="28" ht="15" customHeight="1">
      <c r="A28" t="inlineStr">
        <is>
          <t>A 34234-2026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46306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HYPERLINK("https://klasma.github.io/Logging_1962/artfynd/A 34234-2026 artfynd.xlsx", "A 34234-2026")</f>
        <v/>
      </c>
      <c r="X28">
        <f>HYPERLINK("https://klasma.github.io/Logging_1962/kartor/A 34234-2026 karta.png", "A 34234-2026")</f>
        <v/>
      </c>
      <c r="Y28">
        <f>HYPERLINK("https://klasma.github.io/Logging_1962/kartor_geotiff/A 34234-2026 georefererad karta.tif", "A 34234-2026")</f>
        <v/>
      </c>
      <c r="AA28">
        <f>HYPERLINK("https://klasma.github.io/Logging_1962/klagomål/A 34234-2026 FSC-klagomål.docx", "A 34234-2026")</f>
        <v/>
      </c>
      <c r="AB28">
        <f>HYPERLINK("https://klasma.github.io/Logging_1962/klagomålsmail/A 34234-2026 FSC-klagomål mail.docx", "A 34234-2026")</f>
        <v/>
      </c>
      <c r="AC28">
        <f>HYPERLINK("https://klasma.github.io/Logging_1962/tillsyn/A 34234-2026 tillsynsbegäran.docx", "A 34234-2026")</f>
        <v/>
      </c>
      <c r="AD28">
        <f>HYPERLINK("https://klasma.github.io/Logging_1962/tillsynsmail/A 34234-2026 tillsynsbegäran mail.docx", "A 34234-2026")</f>
        <v/>
      </c>
    </row>
    <row r="29" ht="15" customHeight="1">
      <c r="A29" t="inlineStr">
        <is>
          <t>A 41909-2026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46303</v>
      </c>
      <c r="E29" s="1" t="n">
        <v>46306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41909-2026 artfynd.xlsx", "A 41909-2026")</f>
        <v/>
      </c>
      <c r="X29">
        <f>HYPERLINK("https://klasma.github.io/Logging_1962/kartor/A 41909-2026 karta.png", "A 41909-2026")</f>
        <v/>
      </c>
      <c r="Y29">
        <f>HYPERLINK("https://klasma.github.io/Logging_1962/kartor_geotiff/A 41909-2026 georefererad karta.tif", "A 41909-2026")</f>
        <v/>
      </c>
      <c r="AA29">
        <f>HYPERLINK("https://klasma.github.io/Logging_1962/klagomål/A 41909-2026 FSC-klagomål.docx", "A 41909-2026")</f>
        <v/>
      </c>
      <c r="AB29">
        <f>HYPERLINK("https://klasma.github.io/Logging_1962/klagomålsmail/A 41909-2026 FSC-klagomål mail.docx", "A 41909-2026")</f>
        <v/>
      </c>
      <c r="AC29">
        <f>HYPERLINK("https://klasma.github.io/Logging_1962/tillsyn/A 41909-2026 tillsynsbegäran.docx", "A 41909-2026")</f>
        <v/>
      </c>
      <c r="AD29">
        <f>HYPERLINK("https://klasma.github.io/Logging_1962/tillsynsmail/A 41909-2026 tillsynsbegäran mail.docx", "A 41909-2026")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46306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46306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46306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46306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46306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46306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46306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46306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46306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46306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44620</v>
      </c>
      <c r="E41" s="1" t="n">
        <v>46306</v>
      </c>
      <c r="F41" t="inlineStr">
        <is>
          <t>VÄSTMANLANDS LÄN</t>
        </is>
      </c>
      <c r="G41" t="inlineStr">
        <is>
          <t>NORBERG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46306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46306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44849</v>
      </c>
      <c r="E44" s="1" t="n">
        <v>46306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46306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46306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46306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45056</v>
      </c>
      <c r="E48" s="1" t="n">
        <v>46306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46306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45454</v>
      </c>
      <c r="E50" s="1" t="n">
        <v>46306</v>
      </c>
      <c r="F50" t="inlineStr">
        <is>
          <t>VÄSTMANLANDS LÄN</t>
        </is>
      </c>
      <c r="G50" t="inlineStr">
        <is>
          <t>NORBERG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46306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46306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46306</v>
      </c>
      <c r="F53" t="inlineStr">
        <is>
          <t>VÄSTMANLANDS LÄN</t>
        </is>
      </c>
      <c r="G53" t="inlineStr">
        <is>
          <t>NORBERG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46306</v>
      </c>
      <c r="F54" t="inlineStr">
        <is>
          <t>VÄSTMANLANDS LÄN</t>
        </is>
      </c>
      <c r="G54" t="inlineStr">
        <is>
          <t>NORBERG</t>
        </is>
      </c>
      <c r="H54" t="inlineStr">
        <is>
          <t>Bergvik skog väst AB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46306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46306</v>
      </c>
      <c r="F56" t="inlineStr">
        <is>
          <t>VÄSTMANLANDS LÄN</t>
        </is>
      </c>
      <c r="G56" t="inlineStr">
        <is>
          <t>NORBERG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46306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47753-2024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46306</v>
      </c>
      <c r="F58" t="inlineStr">
        <is>
          <t>VÄSTMANLANDS LÄN</t>
        </is>
      </c>
      <c r="G58" t="inlineStr">
        <is>
          <t>NORBERG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46306</v>
      </c>
      <c r="F59" t="inlineStr">
        <is>
          <t>VÄSTMANLANDS LÄN</t>
        </is>
      </c>
      <c r="G59" t="inlineStr">
        <is>
          <t>NORBERG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45191</v>
      </c>
      <c r="E60" s="1" t="n">
        <v>46306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46306</v>
      </c>
      <c r="F61" t="inlineStr">
        <is>
          <t>VÄSTMANLANDS LÄN</t>
        </is>
      </c>
      <c r="G61" t="inlineStr">
        <is>
          <t>NORBERG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45179</v>
      </c>
      <c r="E62" s="1" t="n">
        <v>46306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51790-2024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45607</v>
      </c>
      <c r="E63" s="1" t="n">
        <v>46306</v>
      </c>
      <c r="F63" t="inlineStr">
        <is>
          <t>VÄSTMANLANDS LÄN</t>
        </is>
      </c>
      <c r="G63" t="inlineStr">
        <is>
          <t>NORBERG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19377-2025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45769</v>
      </c>
      <c r="E64" s="1" t="n">
        <v>46306</v>
      </c>
      <c r="F64" t="inlineStr">
        <is>
          <t>VÄSTMANLANDS LÄN</t>
        </is>
      </c>
      <c r="G64" t="inlineStr">
        <is>
          <t>NORBERG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45320</v>
      </c>
      <c r="E65" s="1" t="n">
        <v>46306</v>
      </c>
      <c r="F65" t="inlineStr">
        <is>
          <t>VÄSTMANLANDS LÄN</t>
        </is>
      </c>
      <c r="G65" t="inlineStr">
        <is>
          <t>NORBERG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45316</v>
      </c>
      <c r="E66" s="1" t="n">
        <v>46306</v>
      </c>
      <c r="F66" t="inlineStr">
        <is>
          <t>VÄSTMANLANDS LÄN</t>
        </is>
      </c>
      <c r="G66" t="inlineStr">
        <is>
          <t>NORBERG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36905-2023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45154</v>
      </c>
      <c r="E67" s="1" t="n">
        <v>46306</v>
      </c>
      <c r="F67" t="inlineStr">
        <is>
          <t>VÄSTMANLANDS LÄN</t>
        </is>
      </c>
      <c r="G67" t="inlineStr">
        <is>
          <t>NORBERG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45567</v>
      </c>
      <c r="E68" s="1" t="n">
        <v>46306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45632</v>
      </c>
      <c r="E69" s="1" t="n">
        <v>46306</v>
      </c>
      <c r="F69" t="inlineStr">
        <is>
          <t>VÄSTMANLANDS LÄN</t>
        </is>
      </c>
      <c r="G69" t="inlineStr">
        <is>
          <t>NORBERG</t>
        </is>
      </c>
      <c r="H69" t="inlineStr">
        <is>
          <t>Bergvik skog väst AB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46306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45729</v>
      </c>
      <c r="E71" s="1" t="n">
        <v>46306</v>
      </c>
      <c r="F71" t="inlineStr">
        <is>
          <t>VÄSTMANLANDS LÄN</t>
        </is>
      </c>
      <c r="G71" t="inlineStr">
        <is>
          <t>NORBERG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46306</v>
      </c>
      <c r="F72" t="inlineStr">
        <is>
          <t>VÄSTMANLANDS LÄN</t>
        </is>
      </c>
      <c r="G72" t="inlineStr">
        <is>
          <t>NORBERG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46306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46306</v>
      </c>
      <c r="F74" t="inlineStr">
        <is>
          <t>VÄSTMANLANDS LÄN</t>
        </is>
      </c>
      <c r="G74" t="inlineStr">
        <is>
          <t>NORBERG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46306</v>
      </c>
      <c r="F75" t="inlineStr">
        <is>
          <t>VÄSTMANLANDS LÄN</t>
        </is>
      </c>
      <c r="G75" t="inlineStr">
        <is>
          <t>NORBERG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45034</v>
      </c>
      <c r="E76" s="1" t="n">
        <v>46306</v>
      </c>
      <c r="F76" t="inlineStr">
        <is>
          <t>VÄSTMANLANDS LÄN</t>
        </is>
      </c>
      <c r="G76" t="inlineStr">
        <is>
          <t>NORBERG</t>
        </is>
      </c>
      <c r="H76" t="inlineStr">
        <is>
          <t>Bergvik skog väst AB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46306</v>
      </c>
      <c r="F77" t="inlineStr">
        <is>
          <t>VÄSTMANLANDS LÄN</t>
        </is>
      </c>
      <c r="G77" t="inlineStr">
        <is>
          <t>NORBERG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46306</v>
      </c>
      <c r="F78" t="inlineStr">
        <is>
          <t>VÄSTMANLANDS LÄN</t>
        </is>
      </c>
      <c r="G78" t="inlineStr">
        <is>
          <t>NORBERG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46306</v>
      </c>
      <c r="F79" t="inlineStr">
        <is>
          <t>VÄSTMANLANDS LÄN</t>
        </is>
      </c>
      <c r="G79" t="inlineStr">
        <is>
          <t>NORBERG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46306</v>
      </c>
      <c r="F80" t="inlineStr">
        <is>
          <t>VÄSTMANLANDS LÄN</t>
        </is>
      </c>
      <c r="G80" t="inlineStr">
        <is>
          <t>NORBERG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46306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46306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20378-2023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45056</v>
      </c>
      <c r="E83" s="1" t="n">
        <v>46306</v>
      </c>
      <c r="F83" t="inlineStr">
        <is>
          <t>VÄSTMANLANDS LÄN</t>
        </is>
      </c>
      <c r="G83" t="inlineStr">
        <is>
          <t>NORBERG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46306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46306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46306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46306</v>
      </c>
      <c r="F87" t="inlineStr">
        <is>
          <t>VÄSTMANLANDS LÄN</t>
        </is>
      </c>
      <c r="G87" t="inlineStr">
        <is>
          <t>NORBERG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46306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46306</v>
      </c>
      <c r="F89" t="inlineStr">
        <is>
          <t>VÄSTMANLANDS LÄN</t>
        </is>
      </c>
      <c r="G89" t="inlineStr">
        <is>
          <t>NORBERG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46306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46306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46306</v>
      </c>
      <c r="F92" t="inlineStr">
        <is>
          <t>VÄSTMANLANDS LÄN</t>
        </is>
      </c>
      <c r="G92" t="inlineStr">
        <is>
          <t>NORBERG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46306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46306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46306</v>
      </c>
      <c r="F95" t="inlineStr">
        <is>
          <t>VÄSTMANLANDS LÄN</t>
        </is>
      </c>
      <c r="G95" t="inlineStr">
        <is>
          <t>NORBERG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46306</v>
      </c>
      <c r="F96" t="inlineStr">
        <is>
          <t>VÄSTMANLANDS LÄN</t>
        </is>
      </c>
      <c r="G96" t="inlineStr">
        <is>
          <t>NORBERG</t>
        </is>
      </c>
      <c r="H96" t="inlineStr">
        <is>
          <t>Övriga Aktiebolag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32524-2023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45121</v>
      </c>
      <c r="E97" s="1" t="n">
        <v>46306</v>
      </c>
      <c r="F97" t="inlineStr">
        <is>
          <t>VÄSTMANLANDS LÄN</t>
        </is>
      </c>
      <c r="G97" t="inlineStr">
        <is>
          <t>NORBERG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46306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46306</v>
      </c>
      <c r="F99" t="inlineStr">
        <is>
          <t>VÄSTMANLANDS LÄN</t>
        </is>
      </c>
      <c r="G99" t="inlineStr">
        <is>
          <t>NORBERG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46306</v>
      </c>
      <c r="F100" t="inlineStr">
        <is>
          <t>VÄSTMANLANDS LÄN</t>
        </is>
      </c>
      <c r="G100" t="inlineStr">
        <is>
          <t>NORBERG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46306</v>
      </c>
      <c r="F101" t="inlineStr">
        <is>
          <t>VÄSTMANLANDS LÄN</t>
        </is>
      </c>
      <c r="G101" t="inlineStr">
        <is>
          <t>NORBERG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46306</v>
      </c>
      <c r="F102" t="inlineStr">
        <is>
          <t>VÄSTMANLANDS LÄN</t>
        </is>
      </c>
      <c r="G102" t="inlineStr">
        <is>
          <t>NORBERG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46306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45613</v>
      </c>
      <c r="E104" s="1" t="n">
        <v>46306</v>
      </c>
      <c r="F104" t="inlineStr">
        <is>
          <t>VÄSTMANLANDS LÄN</t>
        </is>
      </c>
      <c r="G104" t="inlineStr">
        <is>
          <t>NORBERG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46306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46306</v>
      </c>
      <c r="F106" t="inlineStr">
        <is>
          <t>VÄSTMANLANDS LÄN</t>
        </is>
      </c>
      <c r="G106" t="inlineStr">
        <is>
          <t>NORBERG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46306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46306</v>
      </c>
      <c r="F108" t="inlineStr">
        <is>
          <t>VÄSTMANLANDS LÄN</t>
        </is>
      </c>
      <c r="G108" t="inlineStr">
        <is>
          <t>NORBERG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46306</v>
      </c>
      <c r="F109" t="inlineStr">
        <is>
          <t>VÄSTMANLANDS LÄN</t>
        </is>
      </c>
      <c r="G109" t="inlineStr">
        <is>
          <t>NORBERG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45408</v>
      </c>
      <c r="E110" s="1" t="n">
        <v>46306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46306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46306</v>
      </c>
      <c r="F112" t="inlineStr">
        <is>
          <t>VÄSTMANLANDS LÄN</t>
        </is>
      </c>
      <c r="G112" t="inlineStr">
        <is>
          <t>NORBERG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46306</v>
      </c>
      <c r="F113" t="inlineStr">
        <is>
          <t>VÄSTMANLANDS LÄN</t>
        </is>
      </c>
      <c r="G113" t="inlineStr">
        <is>
          <t>NORBERG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46306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46306</v>
      </c>
      <c r="F115" t="inlineStr">
        <is>
          <t>VÄSTMANLANDS LÄN</t>
        </is>
      </c>
      <c r="G115" t="inlineStr">
        <is>
          <t>NORBERG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46306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46306</v>
      </c>
      <c r="F117" t="inlineStr">
        <is>
          <t>VÄSTMANLANDS LÄN</t>
        </is>
      </c>
      <c r="G117" t="inlineStr">
        <is>
          <t>NORBERG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46306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46306</v>
      </c>
      <c r="F119" t="inlineStr">
        <is>
          <t>VÄSTMANLANDS LÄN</t>
        </is>
      </c>
      <c r="G119" t="inlineStr">
        <is>
          <t>NORBERG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46306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73797-2021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44552</v>
      </c>
      <c r="E121" s="1" t="n">
        <v>46306</v>
      </c>
      <c r="F121" t="inlineStr">
        <is>
          <t>VÄSTMANLANDS LÄN</t>
        </is>
      </c>
      <c r="G121" t="inlineStr">
        <is>
          <t>NORBERG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46306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46306</v>
      </c>
      <c r="F123" t="inlineStr">
        <is>
          <t>VÄSTMANLANDS LÄN</t>
        </is>
      </c>
      <c r="G123" t="inlineStr">
        <is>
          <t>NORBERG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46306</v>
      </c>
      <c r="F124" t="inlineStr">
        <is>
          <t>VÄSTMANLANDS LÄN</t>
        </is>
      </c>
      <c r="G124" t="inlineStr">
        <is>
          <t>NORBERG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46306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45200</v>
      </c>
      <c r="E126" s="1" t="n">
        <v>46306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46306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46306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46306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46306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46306</v>
      </c>
      <c r="F131" t="inlineStr">
        <is>
          <t>VÄSTMANLANDS LÄN</t>
        </is>
      </c>
      <c r="G131" t="inlineStr">
        <is>
          <t>NORBERG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46306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46306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46306</v>
      </c>
      <c r="F134" t="inlineStr">
        <is>
          <t>VÄSTMANLANDS LÄN</t>
        </is>
      </c>
      <c r="G134" t="inlineStr">
        <is>
          <t>NORBERG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46306</v>
      </c>
      <c r="F135" t="inlineStr">
        <is>
          <t>VÄSTMANLANDS LÄN</t>
        </is>
      </c>
      <c r="G135" t="inlineStr">
        <is>
          <t>NORBERG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63505-2023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45274</v>
      </c>
      <c r="E136" s="1" t="n">
        <v>46306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46306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46306</v>
      </c>
      <c r="F138" t="inlineStr">
        <is>
          <t>VÄSTMANLANDS LÄN</t>
        </is>
      </c>
      <c r="G138" t="inlineStr">
        <is>
          <t>NORBERG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46306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46306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46306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46306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46306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46306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46306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46306</v>
      </c>
      <c r="F146" t="inlineStr">
        <is>
          <t>VÄSTMANLANDS LÄN</t>
        </is>
      </c>
      <c r="G146" t="inlineStr">
        <is>
          <t>NORBERG</t>
        </is>
      </c>
      <c r="I146" t="n">
        <v>22.4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46306</v>
      </c>
      <c r="F147" t="inlineStr">
        <is>
          <t>VÄSTMANLANDS LÄN</t>
        </is>
      </c>
      <c r="G147" t="inlineStr">
        <is>
          <t>NORBERG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46306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46306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46306</v>
      </c>
      <c r="F150" t="inlineStr">
        <is>
          <t>VÄSTMANLANDS LÄN</t>
        </is>
      </c>
      <c r="G150" t="inlineStr">
        <is>
          <t>NORBERG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46014</v>
      </c>
      <c r="E151" s="1" t="n">
        <v>46306</v>
      </c>
      <c r="F151" t="inlineStr">
        <is>
          <t>VÄSTMANLANDS LÄN</t>
        </is>
      </c>
      <c r="G151" t="inlineStr">
        <is>
          <t>NORBERG</t>
        </is>
      </c>
      <c r="I151" t="n">
        <v>22.8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46014</v>
      </c>
      <c r="E152" s="1" t="n">
        <v>46306</v>
      </c>
      <c r="F152" t="inlineStr">
        <is>
          <t>VÄSTMANLANDS LÄN</t>
        </is>
      </c>
      <c r="G152" t="inlineStr">
        <is>
          <t>NORBERG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46306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46306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56940-2021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44480</v>
      </c>
      <c r="E155" s="1" t="n">
        <v>46306</v>
      </c>
      <c r="F155" t="inlineStr">
        <is>
          <t>VÄSTMANLANDS LÄN</t>
        </is>
      </c>
      <c r="G155" t="inlineStr">
        <is>
          <t>NORBERG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46306</v>
      </c>
      <c r="F156" t="inlineStr">
        <is>
          <t>VÄSTMANLANDS LÄN</t>
        </is>
      </c>
      <c r="G156" t="inlineStr">
        <is>
          <t>NORBERG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46306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46306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46306</v>
      </c>
      <c r="F159" t="inlineStr">
        <is>
          <t>VÄSTMANLANDS LÄN</t>
        </is>
      </c>
      <c r="G159" t="inlineStr">
        <is>
          <t>NORBERG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20968-2026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46142</v>
      </c>
      <c r="E160" s="1" t="n">
        <v>46306</v>
      </c>
      <c r="F160" t="inlineStr">
        <is>
          <t>VÄSTMANLANDS LÄN</t>
        </is>
      </c>
      <c r="G160" t="inlineStr">
        <is>
          <t>NORBERG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46306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12.1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46306</v>
      </c>
      <c r="F162" t="inlineStr">
        <is>
          <t>VÄSTMANLANDS LÄN</t>
        </is>
      </c>
      <c r="G162" t="inlineStr">
        <is>
          <t>NORBERG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46306</v>
      </c>
      <c r="F163" t="inlineStr">
        <is>
          <t>VÄSTMANLANDS LÄN</t>
        </is>
      </c>
      <c r="G163" t="inlineStr">
        <is>
          <t>NORBERG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60339-2025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45994</v>
      </c>
      <c r="E164" s="1" t="n">
        <v>46306</v>
      </c>
      <c r="F164" t="inlineStr">
        <is>
          <t>VÄSTMANLANDS LÄN</t>
        </is>
      </c>
      <c r="G164" t="inlineStr">
        <is>
          <t>NORBERG</t>
        </is>
      </c>
      <c r="H164" t="inlineStr">
        <is>
          <t>Kommuner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46306</v>
      </c>
      <c r="F165" t="inlineStr">
        <is>
          <t>VÄSTMANLANDS LÄN</t>
        </is>
      </c>
      <c r="G165" t="inlineStr">
        <is>
          <t>NORBERG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46306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46306</v>
      </c>
      <c r="F167" t="inlineStr">
        <is>
          <t>VÄSTMANLANDS LÄN</t>
        </is>
      </c>
      <c r="G167" t="inlineStr">
        <is>
          <t>NORBERG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56400-2025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46306</v>
      </c>
      <c r="F168" t="inlineStr">
        <is>
          <t>VÄSTMANLANDS LÄN</t>
        </is>
      </c>
      <c r="G168" t="inlineStr">
        <is>
          <t>NORBERG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46306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46306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46306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46306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46306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46306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46306</v>
      </c>
      <c r="F175" t="inlineStr">
        <is>
          <t>VÄSTMANLANDS LÄN</t>
        </is>
      </c>
      <c r="G175" t="inlineStr">
        <is>
          <t>NORBERG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46306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46306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46306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46306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46306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46232</v>
      </c>
      <c r="E181" s="1" t="n">
        <v>46306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46306</v>
      </c>
      <c r="F182" t="inlineStr">
        <is>
          <t>VÄSTMANLANDS LÄN</t>
        </is>
      </c>
      <c r="G182" t="inlineStr">
        <is>
          <t>NORBERG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46233</v>
      </c>
      <c r="E183" s="1" t="n">
        <v>46306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32385-2026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46238</v>
      </c>
      <c r="E184" s="1" t="n">
        <v>46306</v>
      </c>
      <c r="F184" t="inlineStr">
        <is>
          <t>VÄSTMANLANDS LÄN</t>
        </is>
      </c>
      <c r="G184" t="inlineStr">
        <is>
          <t>NORBERG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46306</v>
      </c>
      <c r="F185" t="inlineStr">
        <is>
          <t>VÄSTMANLANDS LÄN</t>
        </is>
      </c>
      <c r="G185" t="inlineStr">
        <is>
          <t>NORBERG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46306</v>
      </c>
      <c r="F186" t="inlineStr">
        <is>
          <t>VÄSTMANLANDS LÄN</t>
        </is>
      </c>
      <c r="G186" t="inlineStr">
        <is>
          <t>NORBERG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46306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46306</v>
      </c>
      <c r="F189" t="inlineStr">
        <is>
          <t>VÄSTMANLANDS LÄN</t>
        </is>
      </c>
      <c r="G189" t="inlineStr">
        <is>
          <t>NORBERG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46306</v>
      </c>
      <c r="F190" t="inlineStr">
        <is>
          <t>VÄSTMANLANDS LÄN</t>
        </is>
      </c>
      <c r="G190" t="inlineStr">
        <is>
          <t>NORBERG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46306</v>
      </c>
      <c r="F191" t="inlineStr">
        <is>
          <t>VÄSTMANLANDS LÄN</t>
        </is>
      </c>
      <c r="G191" t="inlineStr">
        <is>
          <t>NORBERG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46306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46303</v>
      </c>
      <c r="E193" s="1" t="n">
        <v>46306</v>
      </c>
      <c r="F193" t="inlineStr">
        <is>
          <t>VÄSTMANLANDS LÄN</t>
        </is>
      </c>
      <c r="G193" t="inlineStr">
        <is>
          <t>NORBERG</t>
        </is>
      </c>
      <c r="H193" t="inlineStr">
        <is>
          <t>Sveaskog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46303</v>
      </c>
      <c r="E194" s="1" t="n">
        <v>46306</v>
      </c>
      <c r="F194" t="inlineStr">
        <is>
          <t>VÄSTMANLANDS LÄN</t>
        </is>
      </c>
      <c r="G194" t="inlineStr">
        <is>
          <t>NORBERG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46303</v>
      </c>
      <c r="E195" s="1" t="n">
        <v>46306</v>
      </c>
      <c r="F195" t="inlineStr">
        <is>
          <t>VÄSTMANLANDS LÄN</t>
        </is>
      </c>
      <c r="G195" t="inlineStr">
        <is>
          <t>NORBERG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409-2022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46306</v>
      </c>
      <c r="F196" t="inlineStr">
        <is>
          <t>VÄSTMANLANDS LÄN</t>
        </is>
      </c>
      <c r="G196" t="inlineStr">
        <is>
          <t>NORBERG</t>
        </is>
      </c>
      <c r="H196" t="inlineStr">
        <is>
          <t>Bergvik skog väst AB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606-2026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46085</v>
      </c>
      <c r="E197" s="1" t="n">
        <v>46306</v>
      </c>
      <c r="F197" t="inlineStr">
        <is>
          <t>VÄSTMANLANDS LÄN</t>
        </is>
      </c>
      <c r="G197" t="inlineStr">
        <is>
          <t>NORBERG</t>
        </is>
      </c>
      <c r="H197" t="inlineStr">
        <is>
          <t>Bergvik skog väst AB</t>
        </is>
      </c>
      <c r="I197" t="n">
        <v>26.4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>
      <c r="A198" t="inlineStr">
        <is>
          <t>S 2097-2026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46238</v>
      </c>
      <c r="E198" s="1" t="n">
        <v>46306</v>
      </c>
      <c r="F198" t="inlineStr">
        <is>
          <t>VÄSTMANLANDS LÄN</t>
        </is>
      </c>
      <c r="G198" t="inlineStr">
        <is>
          <t>NORBERG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2026-10-11T02:04:42Z</dcterms:created>
  <dcterms:modified xmlns:dcterms="http://purl.org/dc/terms/" xmlns:xsi="http://www.w3.org/2001/XMLSchema-instance" xsi:type="dcterms:W3CDTF">2026-10-11T02:04:42Z</dcterms:modified>
</cp:coreProperties>
</file>