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46262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46262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46262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46262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46262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46262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46262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15107-2025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46262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15107-2025 artfynd.xlsx", "A 15107-2025")</f>
        <v/>
      </c>
      <c r="X13">
        <f>HYPERLINK("https://klasma.github.io/Logging_1962/kartor/A 15107-2025 karta.png", "A 15107-2025")</f>
        <v/>
      </c>
      <c r="Y13">
        <f>HYPERLINK("https://klasma.github.io/Logging_1962/kartor_geotiff/A 15107-2025 georefererad karta.tif", "A 15107-2025")</f>
        <v/>
      </c>
      <c r="AA13">
        <f>HYPERLINK("https://klasma.github.io/Logging_1962/klagomål/A 15107-2025 FSC-klagomål.docx", "A 15107-2025")</f>
        <v/>
      </c>
      <c r="AB13">
        <f>HYPERLINK("https://klasma.github.io/Logging_1962/klagomålsmail/A 15107-2025 FSC-klagomål mail.docx", "A 15107-2025")</f>
        <v/>
      </c>
      <c r="AC13">
        <f>HYPERLINK("https://klasma.github.io/Logging_1962/tillsyn/A 15107-2025 tillsynsbegäran.docx", "A 15107-2025")</f>
        <v/>
      </c>
      <c r="AD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45644</v>
      </c>
      <c r="E14" s="1" t="n">
        <v>46262</v>
      </c>
      <c r="F14" t="inlineStr">
        <is>
          <t>VÄSTMANLANDS LÄN</t>
        </is>
      </c>
      <c r="G14" t="inlineStr">
        <is>
          <t>NORBERG</t>
        </is>
      </c>
      <c r="I14" t="n">
        <v>0.4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61099-2024 artfynd.xlsx", "A 61099-2024")</f>
        <v/>
      </c>
      <c r="X14">
        <f>HYPERLINK("https://klasma.github.io/Logging_1962/kartor/A 61099-2024 karta.png", "A 61099-2024")</f>
        <v/>
      </c>
      <c r="Y14">
        <f>HYPERLINK("https://klasma.github.io/Logging_1962/kartor_geotiff/A 61099-2024 georefererad karta.tif", "A 61099-2024")</f>
        <v/>
      </c>
      <c r="AA14">
        <f>HYPERLINK("https://klasma.github.io/Logging_1962/klagomål/A 61099-2024 FSC-klagomål.docx", "A 61099-2024")</f>
        <v/>
      </c>
      <c r="AB14">
        <f>HYPERLINK("https://klasma.github.io/Logging_1962/klagomålsmail/A 61099-2024 FSC-klagomål mail.docx", "A 61099-2024")</f>
        <v/>
      </c>
      <c r="AC14">
        <f>HYPERLINK("https://klasma.github.io/Logging_1962/tillsyn/A 61099-2024 tillsynsbegäran.docx", "A 61099-2024")</f>
        <v/>
      </c>
      <c r="AD14">
        <f>HYPERLINK("https://klasma.github.io/Logging_1962/tillsynsmail/A 61099-2024 tillsynsbegäran mail.docx", "A 61099-2024")</f>
        <v/>
      </c>
    </row>
    <row r="15" ht="15" customHeight="1">
      <c r="A15" t="inlineStr">
        <is>
          <t>A 34967-2023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45142</v>
      </c>
      <c r="E15" s="1" t="n">
        <v>46262</v>
      </c>
      <c r="F15" t="inlineStr">
        <is>
          <t>VÄSTMANLANDS LÄN</t>
        </is>
      </c>
      <c r="G15" t="inlineStr">
        <is>
          <t>NORBERG</t>
        </is>
      </c>
      <c r="H15" t="inlineStr">
        <is>
          <t>Kyrkan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Skogsklocka</t>
        </is>
      </c>
      <c r="W15">
        <f>HYPERLINK("https://klasma.github.io/Logging_1962/artfynd/A 34967-2023 artfynd.xlsx", "A 34967-2023")</f>
        <v/>
      </c>
      <c r="X15">
        <f>HYPERLINK("https://klasma.github.io/Logging_1962/kartor/A 34967-2023 karta.png", "A 34967-2023")</f>
        <v/>
      </c>
      <c r="Y15">
        <f>HYPERLINK("https://klasma.github.io/Logging_1962/kartor_geotiff/A 34967-2023 georefererad karta.tif", "A 34967-2023")</f>
        <v/>
      </c>
      <c r="AA15">
        <f>HYPERLINK("https://klasma.github.io/Logging_1962/klagomål/A 34967-2023 FSC-klagomål.docx", "A 34967-2023")</f>
        <v/>
      </c>
      <c r="AB15">
        <f>HYPERLINK("https://klasma.github.io/Logging_1962/klagomålsmail/A 34967-2023 FSC-klagomål mail.docx", "A 34967-2023")</f>
        <v/>
      </c>
      <c r="AC15">
        <f>HYPERLINK("https://klasma.github.io/Logging_1962/tillsyn/A 34967-2023 tillsynsbegäran.docx", "A 34967-2023")</f>
        <v/>
      </c>
      <c r="AD15">
        <f>HYPERLINK("https://klasma.github.io/Logging_1962/tillsynsmail/A 34967-2023 tillsynsbegäran mail.docx", "A 34967-2023")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46262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46262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46262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A 34234-2026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46262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34234-2026 artfynd.xlsx", "A 34234-2026")</f>
        <v/>
      </c>
      <c r="X19">
        <f>HYPERLINK("https://klasma.github.io/Logging_1962/kartor/A 34234-2026 karta.png", "A 34234-2026")</f>
        <v/>
      </c>
      <c r="Y19">
        <f>HYPERLINK("https://klasma.github.io/Logging_1962/kartor_geotiff/A 34234-2026 georefererad karta.tif", "A 34234-2026")</f>
        <v/>
      </c>
      <c r="AA19">
        <f>HYPERLINK("https://klasma.github.io/Logging_1962/klagomål/A 34234-2026 FSC-klagomål.docx", "A 34234-2026")</f>
        <v/>
      </c>
      <c r="AB19">
        <f>HYPERLINK("https://klasma.github.io/Logging_1962/klagomålsmail/A 34234-2026 FSC-klagomål mail.docx", "A 34234-2026")</f>
        <v/>
      </c>
      <c r="AC19">
        <f>HYPERLINK("https://klasma.github.io/Logging_1962/tillsyn/A 34234-2026 tillsynsbegäran.docx", "A 34234-2026")</f>
        <v/>
      </c>
      <c r="AD19">
        <f>HYPERLINK("https://klasma.github.io/Logging_1962/tillsynsmail/A 34234-2026 tillsynsbegäran mail.docx", "A 34234-2026")</f>
        <v/>
      </c>
    </row>
    <row r="20" ht="15" customHeight="1">
      <c r="A20" t="inlineStr">
        <is>
          <t>A 34230-2026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46262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34230-2026 artfynd.xlsx", "A 34230-2026")</f>
        <v/>
      </c>
      <c r="X20">
        <f>HYPERLINK("https://klasma.github.io/Logging_1962/kartor/A 34230-2026 karta.png", "A 34230-2026")</f>
        <v/>
      </c>
      <c r="Y20">
        <f>HYPERLINK("https://klasma.github.io/Logging_1962/kartor_geotiff/A 34230-2026 georefererad karta.tif", "A 34230-2026")</f>
        <v/>
      </c>
      <c r="AA20">
        <f>HYPERLINK("https://klasma.github.io/Logging_1962/klagomål/A 34230-2026 FSC-klagomål.docx", "A 34230-2026")</f>
        <v/>
      </c>
      <c r="AB20">
        <f>HYPERLINK("https://klasma.github.io/Logging_1962/klagomålsmail/A 34230-2026 FSC-klagomål mail.docx", "A 34230-2026")</f>
        <v/>
      </c>
      <c r="AC20">
        <f>HYPERLINK("https://klasma.github.io/Logging_1962/tillsyn/A 34230-2026 tillsynsbegäran.docx", "A 34230-2026")</f>
        <v/>
      </c>
      <c r="AD20">
        <f>HYPERLINK("https://klasma.github.io/Logging_1962/tillsynsmail/A 34230-2026 tillsynsbegäran mail.docx", "A 34230-2026")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46262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46262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46262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46262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46262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46262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46262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46262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46262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46262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46262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46262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46262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46262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46262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46262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46262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46262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46262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46262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2312-2022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44578</v>
      </c>
      <c r="E41" s="1" t="n">
        <v>46262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46262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46262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46262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46262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46262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44552</v>
      </c>
      <c r="E47" s="1" t="n">
        <v>46262</v>
      </c>
      <c r="F47" t="inlineStr">
        <is>
          <t>VÄSTMANLANDS LÄN</t>
        </is>
      </c>
      <c r="G47" t="inlineStr">
        <is>
          <t>NORBERG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46262</v>
      </c>
      <c r="F48" t="inlineStr">
        <is>
          <t>VÄSTMANLANDS LÄN</t>
        </is>
      </c>
      <c r="G48" t="inlineStr">
        <is>
          <t>NORBERG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46262</v>
      </c>
      <c r="F49" t="inlineStr">
        <is>
          <t>VÄSTMANLANDS LÄN</t>
        </is>
      </c>
      <c r="G49" t="inlineStr">
        <is>
          <t>NORBERG</t>
        </is>
      </c>
      <c r="H49" t="inlineStr">
        <is>
          <t>Övriga Aktiebolag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46262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45290-2024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46262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9.300000000000001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46262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45274</v>
      </c>
      <c r="E53" s="1" t="n">
        <v>46262</v>
      </c>
      <c r="F53" t="inlineStr">
        <is>
          <t>VÄSTMANLANDS LÄN</t>
        </is>
      </c>
      <c r="G53" t="inlineStr">
        <is>
          <t>NORBERG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37200-2023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46262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18128-2024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46262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36905-2023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45154</v>
      </c>
      <c r="E56" s="1" t="n">
        <v>46262</v>
      </c>
      <c r="F56" t="inlineStr">
        <is>
          <t>VÄSTMANLANDS LÄN</t>
        </is>
      </c>
      <c r="G56" t="inlineStr">
        <is>
          <t>NORBERG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45226</v>
      </c>
      <c r="E57" s="1" t="n">
        <v>46262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45705</v>
      </c>
      <c r="E58" s="1" t="n">
        <v>46262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45200</v>
      </c>
      <c r="E59" s="1" t="n">
        <v>46262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46262</v>
      </c>
      <c r="F60" t="inlineStr">
        <is>
          <t>VÄSTMANLANDS LÄN</t>
        </is>
      </c>
      <c r="G60" t="inlineStr">
        <is>
          <t>NORBERG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45567</v>
      </c>
      <c r="E61" s="1" t="n">
        <v>46262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46262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46262</v>
      </c>
      <c r="F63" t="inlineStr">
        <is>
          <t>VÄSTMANLANDS LÄN</t>
        </is>
      </c>
      <c r="G63" t="inlineStr">
        <is>
          <t>NORBERG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45989</v>
      </c>
      <c r="E64" s="1" t="n">
        <v>46262</v>
      </c>
      <c r="F64" t="inlineStr">
        <is>
          <t>VÄSTMANLANDS LÄN</t>
        </is>
      </c>
      <c r="G64" t="inlineStr">
        <is>
          <t>NORBERG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46262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46262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46262</v>
      </c>
      <c r="F67" t="inlineStr">
        <is>
          <t>VÄSTMANLANDS LÄN</t>
        </is>
      </c>
      <c r="G67" t="inlineStr">
        <is>
          <t>NORBERG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46262</v>
      </c>
      <c r="F68" t="inlineStr">
        <is>
          <t>VÄSTMANLANDS LÄN</t>
        </is>
      </c>
      <c r="G68" t="inlineStr">
        <is>
          <t>NORBERG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46262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46262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45316</v>
      </c>
      <c r="E71" s="1" t="n">
        <v>46262</v>
      </c>
      <c r="F71" t="inlineStr">
        <is>
          <t>VÄSTMANLANDS LÄN</t>
        </is>
      </c>
      <c r="G71" t="inlineStr">
        <is>
          <t>NORBERG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46262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46262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46262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46262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45586</v>
      </c>
      <c r="E76" s="1" t="n">
        <v>46262</v>
      </c>
      <c r="F76" t="inlineStr">
        <is>
          <t>VÄSTMANLANDS LÄN</t>
        </is>
      </c>
      <c r="G76" t="inlineStr">
        <is>
          <t>NORBERG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46262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44691</v>
      </c>
      <c r="E78" s="1" t="n">
        <v>46262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46262</v>
      </c>
      <c r="F79" t="inlineStr">
        <is>
          <t>VÄSTMANLANDS LÄN</t>
        </is>
      </c>
      <c r="G79" t="inlineStr">
        <is>
          <t>NORBERG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45001</v>
      </c>
      <c r="E80" s="1" t="n">
        <v>46262</v>
      </c>
      <c r="F80" t="inlineStr">
        <is>
          <t>VÄSTMANLANDS LÄN</t>
        </is>
      </c>
      <c r="G80" t="inlineStr">
        <is>
          <t>NORBERG</t>
        </is>
      </c>
      <c r="I80" t="n">
        <v>22.4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46262</v>
      </c>
      <c r="F81" t="inlineStr">
        <is>
          <t>VÄSTMANLANDS LÄN</t>
        </is>
      </c>
      <c r="G81" t="inlineStr">
        <is>
          <t>NORBERG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46014</v>
      </c>
      <c r="E82" s="1" t="n">
        <v>46262</v>
      </c>
      <c r="F82" t="inlineStr">
        <is>
          <t>VÄSTMANLANDS LÄN</t>
        </is>
      </c>
      <c r="G82" t="inlineStr">
        <is>
          <t>NORBERG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46014</v>
      </c>
      <c r="E83" s="1" t="n">
        <v>46262</v>
      </c>
      <c r="F83" t="inlineStr">
        <is>
          <t>VÄSTMANLANDS LÄN</t>
        </is>
      </c>
      <c r="G83" t="inlineStr">
        <is>
          <t>NORBERG</t>
        </is>
      </c>
      <c r="I83" t="n">
        <v>22.8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63907-2025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46020</v>
      </c>
      <c r="E84" s="1" t="n">
        <v>46262</v>
      </c>
      <c r="F84" t="inlineStr">
        <is>
          <t>VÄSTMANLANDS LÄN</t>
        </is>
      </c>
      <c r="G84" t="inlineStr">
        <is>
          <t>NORBERG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45729</v>
      </c>
      <c r="E85" s="1" t="n">
        <v>46262</v>
      </c>
      <c r="F85" t="inlineStr">
        <is>
          <t>VÄSTMANLANDS LÄN</t>
        </is>
      </c>
      <c r="G85" t="inlineStr">
        <is>
          <t>NORBERG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46262</v>
      </c>
      <c r="F86" t="inlineStr">
        <is>
          <t>VÄSTMANLANDS LÄN</t>
        </is>
      </c>
      <c r="G86" t="inlineStr">
        <is>
          <t>NORBERG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46262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46262</v>
      </c>
      <c r="F88" t="inlineStr">
        <is>
          <t>VÄSTMANLANDS LÄN</t>
        </is>
      </c>
      <c r="G88" t="inlineStr">
        <is>
          <t>NORBERG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46262</v>
      </c>
      <c r="F89" t="inlineStr">
        <is>
          <t>VÄSTMANLANDS LÄN</t>
        </is>
      </c>
      <c r="G89" t="inlineStr">
        <is>
          <t>NORBERG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46262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45679</v>
      </c>
      <c r="E91" s="1" t="n">
        <v>46262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45631</v>
      </c>
      <c r="E92" s="1" t="n">
        <v>46262</v>
      </c>
      <c r="F92" t="inlineStr">
        <is>
          <t>VÄSTMANLANDS LÄN</t>
        </is>
      </c>
      <c r="G92" t="inlineStr">
        <is>
          <t>NORBERG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46262</v>
      </c>
      <c r="F93" t="inlineStr">
        <is>
          <t>VÄSTMANLANDS LÄN</t>
        </is>
      </c>
      <c r="G93" t="inlineStr">
        <is>
          <t>NORBERG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60339-2025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45994</v>
      </c>
      <c r="E94" s="1" t="n">
        <v>46262</v>
      </c>
      <c r="F94" t="inlineStr">
        <is>
          <t>VÄSTMANLANDS LÄN</t>
        </is>
      </c>
      <c r="G94" t="inlineStr">
        <is>
          <t>NORBERG</t>
        </is>
      </c>
      <c r="H94" t="inlineStr">
        <is>
          <t>Kommuner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46262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46262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46262</v>
      </c>
      <c r="F97" t="inlineStr">
        <is>
          <t>VÄSTMANLANDS LÄN</t>
        </is>
      </c>
      <c r="G97" t="inlineStr">
        <is>
          <t>NORBERG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46262</v>
      </c>
      <c r="F98" t="inlineStr">
        <is>
          <t>VÄSTMANLANDS LÄN</t>
        </is>
      </c>
      <c r="G98" t="inlineStr">
        <is>
          <t>NORBERG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46262</v>
      </c>
      <c r="F99" t="inlineStr">
        <is>
          <t>VÄSTMANLANDS LÄN</t>
        </is>
      </c>
      <c r="G99" t="inlineStr">
        <is>
          <t>NORBERG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46262</v>
      </c>
      <c r="F100" t="inlineStr">
        <is>
          <t>VÄSTMANLANDS LÄN</t>
        </is>
      </c>
      <c r="G100" t="inlineStr">
        <is>
          <t>NORBERG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46262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46262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46262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46262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46262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46262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45607</v>
      </c>
      <c r="E107" s="1" t="n">
        <v>46262</v>
      </c>
      <c r="F107" t="inlineStr">
        <is>
          <t>VÄSTMANLANDS LÄN</t>
        </is>
      </c>
      <c r="G107" t="inlineStr">
        <is>
          <t>NORBERG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46262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46114</v>
      </c>
      <c r="E109" s="1" t="n">
        <v>46262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46262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46119</v>
      </c>
      <c r="E111" s="1" t="n">
        <v>46262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46262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46262</v>
      </c>
      <c r="F113" t="inlineStr">
        <is>
          <t>VÄSTMANLANDS LÄN</t>
        </is>
      </c>
      <c r="G113" t="inlineStr">
        <is>
          <t>NORBERG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44973</v>
      </c>
      <c r="E114" s="1" t="n">
        <v>46262</v>
      </c>
      <c r="F114" t="inlineStr">
        <is>
          <t>VÄSTMANLANDS LÄN</t>
        </is>
      </c>
      <c r="G114" t="inlineStr">
        <is>
          <t>NORBERG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45320</v>
      </c>
      <c r="E115" s="1" t="n">
        <v>46262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46262</v>
      </c>
      <c r="F116" t="inlineStr">
        <is>
          <t>VÄSTMANLANDS LÄN</t>
        </is>
      </c>
      <c r="G116" t="inlineStr">
        <is>
          <t>NORBERG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46262</v>
      </c>
      <c r="F117" t="inlineStr">
        <is>
          <t>VÄSTMANLANDS LÄN</t>
        </is>
      </c>
      <c r="G117" t="inlineStr">
        <is>
          <t>NORBERG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56940-2021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44480</v>
      </c>
      <c r="E118" s="1" t="n">
        <v>46262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46262</v>
      </c>
      <c r="F119" t="inlineStr">
        <is>
          <t>VÄSTMANLANDS LÄN</t>
        </is>
      </c>
      <c r="G119" t="inlineStr">
        <is>
          <t>NORBERG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46262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19377-2025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45769</v>
      </c>
      <c r="E121" s="1" t="n">
        <v>46262</v>
      </c>
      <c r="F121" t="inlineStr">
        <is>
          <t>VÄSTMANLANDS LÄN</t>
        </is>
      </c>
      <c r="G121" t="inlineStr">
        <is>
          <t>NORBERG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46262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46262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46019</v>
      </c>
      <c r="E124" s="1" t="n">
        <v>46262</v>
      </c>
      <c r="F124" t="inlineStr">
        <is>
          <t>VÄSTMANLANDS LÄN</t>
        </is>
      </c>
      <c r="G124" t="inlineStr">
        <is>
          <t>NORBERG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46139</v>
      </c>
      <c r="E125" s="1" t="n">
        <v>46262</v>
      </c>
      <c r="F125" t="inlineStr">
        <is>
          <t>VÄSTMANLANDS LÄN</t>
        </is>
      </c>
      <c r="G125" t="inlineStr">
        <is>
          <t>NORBERG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45056</v>
      </c>
      <c r="E126" s="1" t="n">
        <v>46262</v>
      </c>
      <c r="F126" t="inlineStr">
        <is>
          <t>VÄSTMANLANDS LÄN</t>
        </is>
      </c>
      <c r="G126" t="inlineStr">
        <is>
          <t>NORBERG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46262</v>
      </c>
      <c r="F127" t="inlineStr">
        <is>
          <t>VÄSTMANLANDS LÄN</t>
        </is>
      </c>
      <c r="G127" t="inlineStr">
        <is>
          <t>NORBERG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46262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45056</v>
      </c>
      <c r="E129" s="1" t="n">
        <v>46262</v>
      </c>
      <c r="F129" t="inlineStr">
        <is>
          <t>VÄSTMANLANDS LÄN</t>
        </is>
      </c>
      <c r="G129" t="inlineStr">
        <is>
          <t>NORBERG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46262</v>
      </c>
      <c r="F130" t="inlineStr">
        <is>
          <t>VÄSTMANLANDS LÄN</t>
        </is>
      </c>
      <c r="G130" t="inlineStr">
        <is>
          <t>NORBERG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46262</v>
      </c>
      <c r="F131" t="inlineStr">
        <is>
          <t>VÄSTMANLANDS LÄN</t>
        </is>
      </c>
      <c r="G131" t="inlineStr">
        <is>
          <t>NORBERG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46262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46262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20968-2026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46142</v>
      </c>
      <c r="E134" s="1" t="n">
        <v>46262</v>
      </c>
      <c r="F134" t="inlineStr">
        <is>
          <t>VÄSTMANLANDS LÄN</t>
        </is>
      </c>
      <c r="G134" t="inlineStr">
        <is>
          <t>NORBERG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46262</v>
      </c>
      <c r="F135" t="inlineStr">
        <is>
          <t>VÄSTMANLANDS LÄN</t>
        </is>
      </c>
      <c r="G135" t="inlineStr">
        <is>
          <t>NORBERG</t>
        </is>
      </c>
      <c r="H135" t="inlineStr">
        <is>
          <t>Bergvik skog väst AB</t>
        </is>
      </c>
      <c r="I135" t="n">
        <v>12.1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46262</v>
      </c>
      <c r="F136" t="inlineStr">
        <is>
          <t>VÄSTMANLANDS LÄN</t>
        </is>
      </c>
      <c r="G136" t="inlineStr">
        <is>
          <t>NORBERG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46262</v>
      </c>
      <c r="F137" t="inlineStr">
        <is>
          <t>VÄSTMANLANDS LÄN</t>
        </is>
      </c>
      <c r="G137" t="inlineStr">
        <is>
          <t>NORBERG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46262</v>
      </c>
      <c r="F138" t="inlineStr">
        <is>
          <t>VÄSTMANLANDS LÄN</t>
        </is>
      </c>
      <c r="G138" t="inlineStr">
        <is>
          <t>NORBERG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46262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46262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46262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46153</v>
      </c>
      <c r="E142" s="1" t="n">
        <v>46262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46262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56400-2025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45974</v>
      </c>
      <c r="E144" s="1" t="n">
        <v>46262</v>
      </c>
      <c r="F144" t="inlineStr">
        <is>
          <t>VÄSTMANLANDS LÄN</t>
        </is>
      </c>
      <c r="G144" t="inlineStr">
        <is>
          <t>NORBERG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46262</v>
      </c>
      <c r="F145" t="inlineStr">
        <is>
          <t>VÄSTMANLANDS LÄN</t>
        </is>
      </c>
      <c r="G145" t="inlineStr">
        <is>
          <t>NORBERG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45613</v>
      </c>
      <c r="E146" s="1" t="n">
        <v>46262</v>
      </c>
      <c r="F146" t="inlineStr">
        <is>
          <t>VÄSTMANLANDS LÄN</t>
        </is>
      </c>
      <c r="G146" t="inlineStr">
        <is>
          <t>NORBERG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46176</v>
      </c>
      <c r="E147" s="1" t="n">
        <v>46262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46262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46262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46262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46223</v>
      </c>
      <c r="E151" s="1" t="n">
        <v>46262</v>
      </c>
      <c r="F151" t="inlineStr">
        <is>
          <t>VÄSTMANLANDS LÄN</t>
        </is>
      </c>
      <c r="G151" t="inlineStr">
        <is>
          <t>NORBERG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45200</v>
      </c>
      <c r="E152" s="1" t="n">
        <v>46262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46262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46262</v>
      </c>
      <c r="F154" t="inlineStr">
        <is>
          <t>VÄSTMANLANDS LÄN</t>
        </is>
      </c>
      <c r="G154" t="inlineStr">
        <is>
          <t>NORBERG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46262</v>
      </c>
      <c r="F155" t="inlineStr">
        <is>
          <t>VÄSTMANLANDS LÄN</t>
        </is>
      </c>
      <c r="G155" t="inlineStr">
        <is>
          <t>NORBERG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46262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46262</v>
      </c>
      <c r="F157" t="inlineStr">
        <is>
          <t>VÄSTMANLANDS LÄN</t>
        </is>
      </c>
      <c r="G157" t="inlineStr">
        <is>
          <t>NORBERG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46262</v>
      </c>
      <c r="F158" t="inlineStr">
        <is>
          <t>VÄSTMANLANDS LÄN</t>
        </is>
      </c>
      <c r="G158" t="inlineStr">
        <is>
          <t>NORBERG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31967-2026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46232</v>
      </c>
      <c r="E159" s="1" t="n">
        <v>46262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46262</v>
      </c>
      <c r="F160" t="inlineStr">
        <is>
          <t>VÄSTMANLANDS LÄN</t>
        </is>
      </c>
      <c r="G160" t="inlineStr">
        <is>
          <t>NORBERG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46262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46262</v>
      </c>
      <c r="F162" t="inlineStr">
        <is>
          <t>VÄSTMANLANDS LÄN</t>
        </is>
      </c>
      <c r="G162" t="inlineStr">
        <is>
          <t>NORBERG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46233</v>
      </c>
      <c r="E163" s="1" t="n">
        <v>46262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46262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46190</v>
      </c>
      <c r="E165" s="1" t="n">
        <v>46262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67356-2021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44523</v>
      </c>
      <c r="E166" s="1" t="n">
        <v>46262</v>
      </c>
      <c r="F166" t="inlineStr">
        <is>
          <t>VÄSTMANLANDS LÄN</t>
        </is>
      </c>
      <c r="G166" t="inlineStr">
        <is>
          <t>NORBERG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46262</v>
      </c>
      <c r="F167" t="inlineStr">
        <is>
          <t>VÄSTMANLANDS LÄN</t>
        </is>
      </c>
      <c r="G167" t="inlineStr">
        <is>
          <t>NORBERG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32385-2026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46238</v>
      </c>
      <c r="E168" s="1" t="n">
        <v>46262</v>
      </c>
      <c r="F168" t="inlineStr">
        <is>
          <t>VÄSTMANLANDS LÄN</t>
        </is>
      </c>
      <c r="G168" t="inlineStr">
        <is>
          <t>NORBERG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46262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46262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45121</v>
      </c>
      <c r="E171" s="1" t="n">
        <v>46262</v>
      </c>
      <c r="F171" t="inlineStr">
        <is>
          <t>VÄSTMANLANDS LÄN</t>
        </is>
      </c>
      <c r="G171" t="inlineStr">
        <is>
          <t>NORBERG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46262</v>
      </c>
      <c r="F172" t="inlineStr">
        <is>
          <t>VÄSTMANLANDS LÄN</t>
        </is>
      </c>
      <c r="G172" t="inlineStr">
        <is>
          <t>NORBERG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46262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46262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46262</v>
      </c>
      <c r="F175" t="inlineStr">
        <is>
          <t>VÄSTMANLANDS LÄN</t>
        </is>
      </c>
      <c r="G175" t="inlineStr">
        <is>
          <t>NORBERG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46262</v>
      </c>
      <c r="F176" t="inlineStr">
        <is>
          <t>VÄSTMANLANDS LÄN</t>
        </is>
      </c>
      <c r="G176" t="inlineStr">
        <is>
          <t>NORBERG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46262</v>
      </c>
      <c r="F177" t="inlineStr">
        <is>
          <t>VÄSTMANLANDS LÄN</t>
        </is>
      </c>
      <c r="G177" t="inlineStr">
        <is>
          <t>NORBERG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46247</v>
      </c>
      <c r="E178" s="1" t="n">
        <v>46262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46262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46262</v>
      </c>
      <c r="F180" t="inlineStr">
        <is>
          <t>VÄSTMANLANDS LÄN</t>
        </is>
      </c>
      <c r="G180" t="inlineStr">
        <is>
          <t>NORBERG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46262</v>
      </c>
      <c r="F181" t="inlineStr">
        <is>
          <t>VÄSTMANLANDS LÄN</t>
        </is>
      </c>
      <c r="G181" t="inlineStr">
        <is>
          <t>NORBERG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46262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46262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46262</v>
      </c>
      <c r="F184" t="inlineStr">
        <is>
          <t>VÄSTMANLANDS LÄN</t>
        </is>
      </c>
      <c r="G184" t="inlineStr">
        <is>
          <t>NORBERG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46262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46262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46262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46262</v>
      </c>
      <c r="F188" t="inlineStr">
        <is>
          <t>VÄSTMANLANDS LÄN</t>
        </is>
      </c>
      <c r="G188" t="inlineStr">
        <is>
          <t>NORBERG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46262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46262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46262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2026-08-28T01:48:34Z</dcterms:created>
  <dcterms:modified xmlns:dcterms="http://purl.org/dc/terms/" xmlns:xsi="http://www.w3.org/2001/XMLSchema-instance" xsi:type="dcterms:W3CDTF">2026-08-28T01:48:34Z</dcterms:modified>
</cp:coreProperties>
</file>