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46220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15262-2026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46105</v>
      </c>
      <c r="E4" s="1" t="n">
        <v>46220</v>
      </c>
      <c r="F4" t="inlineStr">
        <is>
          <t>VÄSTMANLANDS LÄN</t>
        </is>
      </c>
      <c r="G4" t="inlineStr">
        <is>
          <t>NORBERG</t>
        </is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s="2" t="inlineStr">
        <is>
          <t>Brunklöver
Tvåblad</t>
        </is>
      </c>
      <c r="V4">
        <f>HYPERLINK("https://klasma.github.io/Logging_1962/artfynd/A 15262-2026 artfynd.xlsx", "A 15262-2026")</f>
        <v/>
      </c>
      <c r="W4">
        <f>HYPERLINK("https://klasma.github.io/Logging_1962/kartor/A 15262-2026 karta.png", "A 15262-2026")</f>
        <v/>
      </c>
      <c r="Y4">
        <f>HYPERLINK("https://klasma.github.io/Logging_1962/klagomål/A 15262-2026 FSC-klagomål.docx", "A 15262-2026")</f>
        <v/>
      </c>
      <c r="Z4">
        <f>HYPERLINK("https://klasma.github.io/Logging_1962/klagomålsmail/A 15262-2026 FSC-klagomål mail.docx", "A 15262-2026")</f>
        <v/>
      </c>
      <c r="AA4">
        <f>HYPERLINK("https://klasma.github.io/Logging_1962/tillsyn/A 15262-2026 tillsynsbegäran.docx", "A 15262-2026")</f>
        <v/>
      </c>
      <c r="AB4">
        <f>HYPERLINK("https://klasma.github.io/Logging_1962/tillsynsmail/A 15262-2026 tillsynsbegäran mail.docx", "A 15262-2026")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46220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Persiljespindling
Skogsknipprot</t>
        </is>
      </c>
      <c r="V5">
        <f>HYPERLINK("https://klasma.github.io/Logging_1962/artfynd/A 55711-2024 artfynd.xlsx", "A 55711-2024")</f>
        <v/>
      </c>
      <c r="W5">
        <f>HYPERLINK("https://klasma.github.io/Logging_1962/kartor/A 55711-2024 karta.png", "A 55711-2024")</f>
        <v/>
      </c>
      <c r="Y5">
        <f>HYPERLINK("https://klasma.github.io/Logging_1962/klagomål/A 55711-2024 FSC-klagomål.docx", "A 55711-2024")</f>
        <v/>
      </c>
      <c r="Z5">
        <f>HYPERLINK("https://klasma.github.io/Logging_1962/klagomålsmail/A 55711-2024 FSC-klagomål mail.docx", "A 55711-2024")</f>
        <v/>
      </c>
      <c r="AA5">
        <f>HYPERLINK("https://klasma.github.io/Logging_1962/tillsyn/A 55711-2024 tillsynsbegäran.docx", "A 55711-2024")</f>
        <v/>
      </c>
      <c r="AB5">
        <f>HYPERLINK("https://klasma.github.io/Logging_1962/tillsynsmail/A 55711-2024 tillsynsbegäran mail.docx", "A 55711-2024")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46220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Y6">
        <f>HYPERLINK("https://klasma.github.io/Logging_1962/klagomål/A 33377-2023 FSC-klagomål.docx", "A 33377-2023")</f>
        <v/>
      </c>
      <c r="Z6">
        <f>HYPERLINK("https://klasma.github.io/Logging_1962/klagomålsmail/A 33377-2023 FSC-klagomål mail.docx", "A 33377-2023")</f>
        <v/>
      </c>
      <c r="AA6">
        <f>HYPERLINK("https://klasma.github.io/Logging_1962/tillsyn/A 33377-2023 tillsynsbegäran.docx", "A 33377-2023")</f>
        <v/>
      </c>
      <c r="AB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46220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56936-2021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44480</v>
      </c>
      <c r="E8" s="1" t="n">
        <v>46220</v>
      </c>
      <c r="F8" t="inlineStr">
        <is>
          <t>VÄSTMANLANDS LÄN</t>
        </is>
      </c>
      <c r="G8" t="inlineStr">
        <is>
          <t>NORBERG</t>
        </is>
      </c>
      <c r="I8" t="n">
        <v>2.4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HYPERLINK("https://klasma.github.io/Logging_1962/artfynd/A 56936-2021 artfynd.xlsx", "A 56936-2021")</f>
        <v/>
      </c>
      <c r="W8">
        <f>HYPERLINK("https://klasma.github.io/Logging_1962/kartor/A 56936-2021 karta.png", "A 56936-2021")</f>
        <v/>
      </c>
      <c r="Y8">
        <f>HYPERLINK("https://klasma.github.io/Logging_1962/klagomål/A 56936-2021 FSC-klagomål.docx", "A 56936-2021")</f>
        <v/>
      </c>
      <c r="Z8">
        <f>HYPERLINK("https://klasma.github.io/Logging_1962/klagomålsmail/A 56936-2021 FSC-klagomål mail.docx", "A 56936-2021")</f>
        <v/>
      </c>
      <c r="AA8">
        <f>HYPERLINK("https://klasma.github.io/Logging_1962/tillsyn/A 56936-2021 tillsynsbegäran.docx", "A 56936-2021")</f>
        <v/>
      </c>
      <c r="AB8">
        <f>HYPERLINK("https://klasma.github.io/Logging_1962/tillsynsmail/A 56936-2021 tillsynsbegäran mail.docx", "A 56936-2021")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46220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Plattlummer</t>
        </is>
      </c>
      <c r="V9">
        <f>HYPERLINK("https://klasma.github.io/Logging_1962/artfynd/A 20257-2025 artfynd.xlsx", "A 20257-2025")</f>
        <v/>
      </c>
      <c r="W9">
        <f>HYPERLINK("https://klasma.github.io/Logging_1962/kartor/A 20257-2025 karta.png", "A 20257-2025")</f>
        <v/>
      </c>
      <c r="Y9">
        <f>HYPERLINK("https://klasma.github.io/Logging_1962/klagomål/A 20257-2025 FSC-klagomål.docx", "A 20257-2025")</f>
        <v/>
      </c>
      <c r="Z9">
        <f>HYPERLINK("https://klasma.github.io/Logging_1962/klagomålsmail/A 20257-2025 FSC-klagomål mail.docx", "A 20257-2025")</f>
        <v/>
      </c>
      <c r="AA9">
        <f>HYPERLINK("https://klasma.github.io/Logging_1962/tillsyn/A 20257-2025 tillsynsbegäran.docx", "A 20257-2025")</f>
        <v/>
      </c>
      <c r="AB9">
        <f>HYPERLINK("https://klasma.github.io/Logging_1962/tillsynsmail/A 20257-2025 tillsynsbegäran mail.docx", "A 20257-2025")</f>
        <v/>
      </c>
    </row>
    <row r="10" ht="15" customHeight="1">
      <c r="A10" t="inlineStr">
        <is>
          <t>A 15107-2025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46220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Blåsippa</t>
        </is>
      </c>
      <c r="V10">
        <f>HYPERLINK("https://klasma.github.io/Logging_1962/artfynd/A 15107-2025 artfynd.xlsx", "A 15107-2025")</f>
        <v/>
      </c>
      <c r="W10">
        <f>HYPERLINK("https://klasma.github.io/Logging_1962/kartor/A 15107-2025 karta.png", "A 15107-2025")</f>
        <v/>
      </c>
      <c r="Y10">
        <f>HYPERLINK("https://klasma.github.io/Logging_1962/klagomål/A 15107-2025 FSC-klagomål.docx", "A 15107-2025")</f>
        <v/>
      </c>
      <c r="Z10">
        <f>HYPERLINK("https://klasma.github.io/Logging_1962/klagomålsmail/A 15107-2025 FSC-klagomål mail.docx", "A 15107-2025")</f>
        <v/>
      </c>
      <c r="AA10">
        <f>HYPERLINK("https://klasma.github.io/Logging_1962/tillsyn/A 15107-2025 tillsynsbegäran.docx", "A 15107-2025")</f>
        <v/>
      </c>
      <c r="AB10">
        <f>HYPERLINK("https://klasma.github.io/Logging_1962/tillsynsmail/A 15107-2025 tillsynsbegäran mail.docx", "A 15107-2025")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46220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Ask</t>
        </is>
      </c>
      <c r="V11">
        <f>HYPERLINK("https://klasma.github.io/Logging_1962/artfynd/A 38017-2025 artfynd.xlsx", "A 38017-2025")</f>
        <v/>
      </c>
      <c r="W11">
        <f>HYPERLINK("https://klasma.github.io/Logging_1962/kartor/A 38017-2025 karta.png", "A 38017-2025")</f>
        <v/>
      </c>
      <c r="Y11">
        <f>HYPERLINK("https://klasma.github.io/Logging_1962/klagomål/A 38017-2025 FSC-klagomål.docx", "A 38017-2025")</f>
        <v/>
      </c>
      <c r="Z11">
        <f>HYPERLINK("https://klasma.github.io/Logging_1962/klagomålsmail/A 38017-2025 FSC-klagomål mail.docx", "A 38017-2025")</f>
        <v/>
      </c>
      <c r="AA11">
        <f>HYPERLINK("https://klasma.github.io/Logging_1962/tillsyn/A 38017-2025 tillsynsbegäran.docx", "A 38017-2025")</f>
        <v/>
      </c>
      <c r="AB11">
        <f>HYPERLINK("https://klasma.github.io/Logging_1962/tillsynsmail/A 38017-2025 tillsynsbegäran mail.docx", "A 38017-2025")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46220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HYPERLINK("https://klasma.github.io/Logging_1962/artfynd/A 61099-2024 artfynd.xlsx", "A 61099-2024")</f>
        <v/>
      </c>
      <c r="W12">
        <f>HYPERLINK("https://klasma.github.io/Logging_1962/kartor/A 61099-2024 karta.png", "A 61099-2024")</f>
        <v/>
      </c>
      <c r="Y12">
        <f>HYPERLINK("https://klasma.github.io/Logging_1962/klagomål/A 61099-2024 FSC-klagomål.docx", "A 61099-2024")</f>
        <v/>
      </c>
      <c r="Z12">
        <f>HYPERLINK("https://klasma.github.io/Logging_1962/klagomålsmail/A 61099-2024 FSC-klagomål mail.docx", "A 61099-2024")</f>
        <v/>
      </c>
      <c r="AA12">
        <f>HYPERLINK("https://klasma.github.io/Logging_1962/tillsyn/A 61099-2024 tillsynsbegäran.docx", "A 61099-2024")</f>
        <v/>
      </c>
      <c r="AB12">
        <f>HYPERLINK("https://klasma.github.io/Logging_1962/tillsynsmail/A 61099-2024 tillsynsbegäran mail.docx", "A 61099-2024")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46220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Skogsklocka</t>
        </is>
      </c>
      <c r="V13">
        <f>HYPERLINK("https://klasma.github.io/Logging_1962/artfynd/A 34967-2023 artfynd.xlsx", "A 34967-2023")</f>
        <v/>
      </c>
      <c r="W13">
        <f>HYPERLINK("https://klasma.github.io/Logging_1962/kartor/A 34967-2023 karta.png", "A 34967-2023")</f>
        <v/>
      </c>
      <c r="Y13">
        <f>HYPERLINK("https://klasma.github.io/Logging_1962/klagomål/A 34967-2023 FSC-klagomål.docx", "A 34967-2023")</f>
        <v/>
      </c>
      <c r="Z13">
        <f>HYPERLINK("https://klasma.github.io/Logging_1962/klagomålsmail/A 34967-2023 FSC-klagomål mail.docx", "A 34967-2023")</f>
        <v/>
      </c>
      <c r="AA13">
        <f>HYPERLINK("https://klasma.github.io/Logging_1962/tillsyn/A 34967-2023 tillsynsbegäran.docx", "A 34967-2023")</f>
        <v/>
      </c>
      <c r="AB13">
        <f>HYPERLINK("https://klasma.github.io/Logging_1962/tillsynsmail/A 34967-2023 tillsynsbegäran mail.docx", "A 34967-2023")</f>
        <v/>
      </c>
    </row>
    <row r="14" ht="15" customHeight="1">
      <c r="A14" t="inlineStr">
        <is>
          <t>A 16565-2025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46220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Dofttaggsvamp</t>
        </is>
      </c>
      <c r="V14">
        <f>HYPERLINK("https://klasma.github.io/Logging_1962/artfynd/A 16565-2025 artfynd.xlsx", "A 16565-2025")</f>
        <v/>
      </c>
      <c r="W14">
        <f>HYPERLINK("https://klasma.github.io/Logging_1962/kartor/A 16565-2025 karta.png", "A 16565-2025")</f>
        <v/>
      </c>
      <c r="Y14">
        <f>HYPERLINK("https://klasma.github.io/Logging_1962/klagomål/A 16565-2025 FSC-klagomål.docx", "A 16565-2025")</f>
        <v/>
      </c>
      <c r="Z14">
        <f>HYPERLINK("https://klasma.github.io/Logging_1962/klagomålsmail/A 16565-2025 FSC-klagomål mail.docx", "A 16565-2025")</f>
        <v/>
      </c>
      <c r="AA14">
        <f>HYPERLINK("https://klasma.github.io/Logging_1962/tillsyn/A 16565-2025 tillsynsbegäran.docx", "A 16565-2025")</f>
        <v/>
      </c>
      <c r="AB14">
        <f>HYPERLINK("https://klasma.github.io/Logging_1962/tillsynsmail/A 16565-2025 tillsynsbegäran mail.docx", "A 16565-2025")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46220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Skogsknipprot</t>
        </is>
      </c>
      <c r="V15">
        <f>HYPERLINK("https://klasma.github.io/Logging_1962/artfynd/A 18464-2025 artfynd.xlsx", "A 18464-2025")</f>
        <v/>
      </c>
      <c r="W15">
        <f>HYPERLINK("https://klasma.github.io/Logging_1962/kartor/A 18464-2025 karta.png", "A 18464-2025")</f>
        <v/>
      </c>
      <c r="Y15">
        <f>HYPERLINK("https://klasma.github.io/Logging_1962/klagomål/A 18464-2025 FSC-klagomål.docx", "A 18464-2025")</f>
        <v/>
      </c>
      <c r="Z15">
        <f>HYPERLINK("https://klasma.github.io/Logging_1962/klagomålsmail/A 18464-2025 FSC-klagomål mail.docx", "A 18464-2025")</f>
        <v/>
      </c>
      <c r="AA15">
        <f>HYPERLINK("https://klasma.github.io/Logging_1962/tillsyn/A 18464-2025 tillsynsbegäran.docx", "A 18464-2025")</f>
        <v/>
      </c>
      <c r="AB15">
        <f>HYPERLINK("https://klasma.github.io/Logging_1962/tillsynsmail/A 18464-2025 tillsynsbegäran mail.docx", "A 18464-2025")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46220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52063-2022 artfynd.xlsx", "A 52063-2022")</f>
        <v/>
      </c>
      <c r="W16">
        <f>HYPERLINK("https://klasma.github.io/Logging_1962/kartor/A 52063-2022 karta.png", "A 52063-2022")</f>
        <v/>
      </c>
      <c r="Y16">
        <f>HYPERLINK("https://klasma.github.io/Logging_1962/klagomål/A 52063-2022 FSC-klagomål.docx", "A 52063-2022")</f>
        <v/>
      </c>
      <c r="Z16">
        <f>HYPERLINK("https://klasma.github.io/Logging_1962/klagomålsmail/A 52063-2022 FSC-klagomål mail.docx", "A 52063-2022")</f>
        <v/>
      </c>
      <c r="AA16">
        <f>HYPERLINK("https://klasma.github.io/Logging_1962/tillsyn/A 52063-2022 tillsynsbegäran.docx", "A 52063-2022")</f>
        <v/>
      </c>
      <c r="AB16">
        <f>HYPERLINK("https://klasma.github.io/Logging_1962/tillsynsmail/A 52063-2022 tillsynsbegäran mail.docx", "A 52063-2022")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46220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Plattlummer</t>
        </is>
      </c>
      <c r="V17">
        <f>HYPERLINK("https://klasma.github.io/Logging_1962/artfynd/A 28307-2026 artfynd.xlsx", "A 28307-2026")</f>
        <v/>
      </c>
      <c r="W17">
        <f>HYPERLINK("https://klasma.github.io/Logging_1962/kartor/A 28307-2026 karta.png", "A 28307-2026")</f>
        <v/>
      </c>
      <c r="Y17">
        <f>HYPERLINK("https://klasma.github.io/Logging_1962/klagomål/A 28307-2026 FSC-klagomål.docx", "A 28307-2026")</f>
        <v/>
      </c>
      <c r="Z17">
        <f>HYPERLINK("https://klasma.github.io/Logging_1962/klagomålsmail/A 28307-2026 FSC-klagomål mail.docx", "A 28307-2026")</f>
        <v/>
      </c>
      <c r="AA17">
        <f>HYPERLINK("https://klasma.github.io/Logging_1962/tillsyn/A 28307-2026 tillsynsbegäran.docx", "A 28307-2026")</f>
        <v/>
      </c>
      <c r="AB17">
        <f>HYPERLINK("https://klasma.github.io/Logging_1962/tillsynsmail/A 28307-2026 tillsynsbegäran mail.docx", "A 28307-2026")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46220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Nordfladdermus</t>
        </is>
      </c>
      <c r="V18">
        <f>HYPERLINK("https://klasma.github.io/Logging_1962/artfynd/S 4857-2024 artfynd.xlsx", "S 4857-2024")</f>
        <v/>
      </c>
      <c r="W18">
        <f>HYPERLINK("https://klasma.github.io/Logging_1962/kartor/S 4857-2024 karta.png", "S 4857-2024")</f>
        <v/>
      </c>
      <c r="Y18">
        <f>HYPERLINK("https://klasma.github.io/Logging_1962/klagomål/S 4857-2024 FSC-klagomål.docx", "S 4857-2024")</f>
        <v/>
      </c>
      <c r="Z18">
        <f>HYPERLINK("https://klasma.github.io/Logging_1962/klagomålsmail/S 4857-2024 FSC-klagomål mail.docx", "S 4857-2024")</f>
        <v/>
      </c>
      <c r="AA18">
        <f>HYPERLINK("https://klasma.github.io/Logging_1962/tillsyn/S 4857-2024 tillsynsbegäran.docx", "S 4857-2024")</f>
        <v/>
      </c>
      <c r="AB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46220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HYPERLINK("https://klasma.github.io/Logging_1962/artfynd/S 920-2025 artfynd.xlsx", "S 920-2025")</f>
        <v/>
      </c>
      <c r="W19">
        <f>HYPERLINK("https://klasma.github.io/Logging_1962/kartor/S 920-2025 karta.png", "S 920-2025")</f>
        <v/>
      </c>
      <c r="Y19">
        <f>HYPERLINK("https://klasma.github.io/Logging_1962/klagomål/S 920-2025 FSC-klagomål.docx", "S 920-2025")</f>
        <v/>
      </c>
      <c r="Z19">
        <f>HYPERLINK("https://klasma.github.io/Logging_1962/klagomålsmail/S 920-2025 FSC-klagomål mail.docx", "S 920-2025")</f>
        <v/>
      </c>
      <c r="AA19">
        <f>HYPERLINK("https://klasma.github.io/Logging_1962/tillsyn/S 920-2025 tillsynsbegäran.docx", "S 920-2025")</f>
        <v/>
      </c>
      <c r="AB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46220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46220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46220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46220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46220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46220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46220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46220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46220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46220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46220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46220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46220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46220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46220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46220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46220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2312-2022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44578</v>
      </c>
      <c r="E41" s="1" t="n">
        <v>46220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46220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46220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46220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46220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46220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44687</v>
      </c>
      <c r="E47" s="1" t="n">
        <v>46220</v>
      </c>
      <c r="F47" t="inlineStr">
        <is>
          <t>VÄSTMANLANDS LÄN</t>
        </is>
      </c>
      <c r="G47" t="inlineStr">
        <is>
          <t>NORBERG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46220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18128-2024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46220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46220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45290-2024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46220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9.300000000000001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46220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46220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63907-2025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46020</v>
      </c>
      <c r="E54" s="1" t="n">
        <v>46220</v>
      </c>
      <c r="F54" t="inlineStr">
        <is>
          <t>VÄSTMANLANDS LÄN</t>
        </is>
      </c>
      <c r="G54" t="inlineStr">
        <is>
          <t>NORBERG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46220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46220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46220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43103-2024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46220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29620-2025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46220</v>
      </c>
      <c r="F59" t="inlineStr">
        <is>
          <t>VÄSTMANLANDS LÄN</t>
        </is>
      </c>
      <c r="G59" t="inlineStr">
        <is>
          <t>NORBERG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30211-2025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46220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12526-2025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46220</v>
      </c>
      <c r="F61" t="inlineStr">
        <is>
          <t>VÄSTMANLANDS LÄN</t>
        </is>
      </c>
      <c r="G61" t="inlineStr">
        <is>
          <t>NORBERG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46220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46220</v>
      </c>
      <c r="F63" t="inlineStr">
        <is>
          <t>VÄSTMANLANDS LÄN</t>
        </is>
      </c>
      <c r="G63" t="inlineStr">
        <is>
          <t>NORBERG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63505-2023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45274</v>
      </c>
      <c r="E64" s="1" t="n">
        <v>46220</v>
      </c>
      <c r="F64" t="inlineStr">
        <is>
          <t>VÄSTMANLANDS LÄN</t>
        </is>
      </c>
      <c r="G64" t="inlineStr">
        <is>
          <t>NORBERG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46220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47029-2024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45586</v>
      </c>
      <c r="E66" s="1" t="n">
        <v>46220</v>
      </c>
      <c r="F66" t="inlineStr">
        <is>
          <t>VÄSTMANLANDS LÄN</t>
        </is>
      </c>
      <c r="G66" t="inlineStr">
        <is>
          <t>NORBERG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19075-2022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44691</v>
      </c>
      <c r="E67" s="1" t="n">
        <v>46220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12796-2023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45001</v>
      </c>
      <c r="E68" s="1" t="n">
        <v>46220</v>
      </c>
      <c r="F68" t="inlineStr">
        <is>
          <t>VÄSTMANLANDS LÄN</t>
        </is>
      </c>
      <c r="G68" t="inlineStr">
        <is>
          <t>NORBERG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46220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46220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11099-2022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46220</v>
      </c>
      <c r="F71" t="inlineStr">
        <is>
          <t>VÄSTMANLANDS LÄN</t>
        </is>
      </c>
      <c r="G71" t="inlineStr">
        <is>
          <t>NORBERG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46220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46220</v>
      </c>
      <c r="F73" t="inlineStr">
        <is>
          <t>VÄSTMANLANDS LÄN</t>
        </is>
      </c>
      <c r="G73" t="inlineStr">
        <is>
          <t>NORBERG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38019-2025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46220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12110-2025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45729</v>
      </c>
      <c r="E75" s="1" t="n">
        <v>46220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46220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46220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46220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50124-2022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46220</v>
      </c>
      <c r="F79" t="inlineStr">
        <is>
          <t>VÄSTMANLANDS LÄN</t>
        </is>
      </c>
      <c r="G79" t="inlineStr">
        <is>
          <t>NORBERG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46220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46220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45679</v>
      </c>
      <c r="E82" s="1" t="n">
        <v>46220</v>
      </c>
      <c r="F82" t="inlineStr">
        <is>
          <t>VÄSTMANLANDS LÄN</t>
        </is>
      </c>
      <c r="G82" t="inlineStr">
        <is>
          <t>NORBERG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59527-2025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46220</v>
      </c>
      <c r="F83" t="inlineStr">
        <is>
          <t>VÄSTMANLANDS LÄN</t>
        </is>
      </c>
      <c r="G83" t="inlineStr">
        <is>
          <t>NORBERG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57993-2024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46220</v>
      </c>
      <c r="F84" t="inlineStr">
        <is>
          <t>VÄSTMANLANDS LÄN</t>
        </is>
      </c>
      <c r="G84" t="inlineStr">
        <is>
          <t>NORBERG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46220</v>
      </c>
      <c r="F85" t="inlineStr">
        <is>
          <t>VÄSTMANLANDS LÄN</t>
        </is>
      </c>
      <c r="G85" t="inlineStr">
        <is>
          <t>NORBERG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46220</v>
      </c>
      <c r="F86" t="inlineStr">
        <is>
          <t>VÄSTMANLANDS LÄN</t>
        </is>
      </c>
      <c r="G86" t="inlineStr">
        <is>
          <t>NORBERG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48396-2023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46220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60339-2025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45994</v>
      </c>
      <c r="E88" s="1" t="n">
        <v>46220</v>
      </c>
      <c r="F88" t="inlineStr">
        <is>
          <t>VÄSTMANLANDS LÄN</t>
        </is>
      </c>
      <c r="G88" t="inlineStr">
        <is>
          <t>NORBERG</t>
        </is>
      </c>
      <c r="H88" t="inlineStr">
        <is>
          <t>Kommuner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62155-2025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46220</v>
      </c>
      <c r="F89" t="inlineStr">
        <is>
          <t>VÄSTMANLANDS LÄN</t>
        </is>
      </c>
      <c r="G89" t="inlineStr">
        <is>
          <t>NORBERG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46220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62881-2025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46220</v>
      </c>
      <c r="F91" t="inlineStr">
        <is>
          <t>VÄSTMANLANDS LÄN</t>
        </is>
      </c>
      <c r="G91" t="inlineStr">
        <is>
          <t>NORBERG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62882-2025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46220</v>
      </c>
      <c r="F92" t="inlineStr">
        <is>
          <t>VÄSTMANLANDS LÄN</t>
        </is>
      </c>
      <c r="G92" t="inlineStr">
        <is>
          <t>NORBERG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62883-2025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46220</v>
      </c>
      <c r="F93" t="inlineStr">
        <is>
          <t>VÄSTMANLANDS LÄN</t>
        </is>
      </c>
      <c r="G93" t="inlineStr">
        <is>
          <t>NORBERG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46220</v>
      </c>
      <c r="F94" t="inlineStr">
        <is>
          <t>VÄSTMANLANDS LÄN</t>
        </is>
      </c>
      <c r="G94" t="inlineStr">
        <is>
          <t>NORBERG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46220</v>
      </c>
      <c r="F95" t="inlineStr">
        <is>
          <t>VÄSTMANLANDS LÄN</t>
        </is>
      </c>
      <c r="G95" t="inlineStr">
        <is>
          <t>NORBERG</t>
        </is>
      </c>
      <c r="I95" t="n">
        <v>22.8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49763-2024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46220</v>
      </c>
      <c r="F96" t="inlineStr">
        <is>
          <t>VÄSTMANLANDS LÄN</t>
        </is>
      </c>
      <c r="G96" t="inlineStr">
        <is>
          <t>NORBERG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36443-2024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46220</v>
      </c>
      <c r="F97" t="inlineStr">
        <is>
          <t>VÄSTMANLANDS LÄN</t>
        </is>
      </c>
      <c r="G97" t="inlineStr">
        <is>
          <t>NORBERG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28589-2023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46220</v>
      </c>
      <c r="F98" t="inlineStr">
        <is>
          <t>VÄSTMANLANDS LÄN</t>
        </is>
      </c>
      <c r="G98" t="inlineStr">
        <is>
          <t>NORBERG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13471-2026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46220</v>
      </c>
      <c r="F99" t="inlineStr">
        <is>
          <t>VÄSTMANLANDS LÄN</t>
        </is>
      </c>
      <c r="G99" t="inlineStr">
        <is>
          <t>NORBERG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46220</v>
      </c>
      <c r="F100" t="inlineStr">
        <is>
          <t>VÄSTMANLANDS LÄN</t>
        </is>
      </c>
      <c r="G100" t="inlineStr">
        <is>
          <t>NORBERG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45607</v>
      </c>
      <c r="E101" s="1" t="n">
        <v>46220</v>
      </c>
      <c r="F101" t="inlineStr">
        <is>
          <t>VÄSTMANLANDS LÄN</t>
        </is>
      </c>
      <c r="G101" t="inlineStr">
        <is>
          <t>NORBERG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14234-2026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46099</v>
      </c>
      <c r="E102" s="1" t="n">
        <v>46220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46220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46220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46220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46220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18960-2025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46220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16383-2026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46220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46114</v>
      </c>
      <c r="E109" s="1" t="n">
        <v>46220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46220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46220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46220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17318-2026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46220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3587-2024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45320</v>
      </c>
      <c r="E114" s="1" t="n">
        <v>46220</v>
      </c>
      <c r="F114" t="inlineStr">
        <is>
          <t>VÄSTMANLANDS LÄN</t>
        </is>
      </c>
      <c r="G114" t="inlineStr">
        <is>
          <t>NORBERG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46220</v>
      </c>
      <c r="F115" t="inlineStr">
        <is>
          <t>VÄSTMANLANDS LÄN</t>
        </is>
      </c>
      <c r="G115" t="inlineStr">
        <is>
          <t>NORBERG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46220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19377-2025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46220</v>
      </c>
      <c r="F117" t="inlineStr">
        <is>
          <t>VÄSTMANLANDS LÄN</t>
        </is>
      </c>
      <c r="G117" t="inlineStr">
        <is>
          <t>NORBERG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45408</v>
      </c>
      <c r="E118" s="1" t="n">
        <v>46220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8.800000000000001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56940-2021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44480</v>
      </c>
      <c r="E119" s="1" t="n">
        <v>46220</v>
      </c>
      <c r="F119" t="inlineStr">
        <is>
          <t>VÄSTMANLANDS LÄN</t>
        </is>
      </c>
      <c r="G119" t="inlineStr">
        <is>
          <t>NORBERG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45056</v>
      </c>
      <c r="E120" s="1" t="n">
        <v>46220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46220</v>
      </c>
      <c r="F121" t="inlineStr">
        <is>
          <t>VÄSTMANLANDS LÄN</t>
        </is>
      </c>
      <c r="G121" t="inlineStr">
        <is>
          <t>NORBERG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40140-2023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46220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46220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20378-2023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45056</v>
      </c>
      <c r="E124" s="1" t="n">
        <v>46220</v>
      </c>
      <c r="F124" t="inlineStr">
        <is>
          <t>VÄSTMANLANDS LÄN</t>
        </is>
      </c>
      <c r="G124" t="inlineStr">
        <is>
          <t>NORBERG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46220</v>
      </c>
      <c r="F125" t="inlineStr">
        <is>
          <t>VÄSTMANLANDS LÄN</t>
        </is>
      </c>
      <c r="G125" t="inlineStr">
        <is>
          <t>NORBERG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27580-2024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46220</v>
      </c>
      <c r="F126" t="inlineStr">
        <is>
          <t>VÄSTMANLANDS LÄN</t>
        </is>
      </c>
      <c r="G126" t="inlineStr">
        <is>
          <t>NORBERG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50005-2024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45598</v>
      </c>
      <c r="E127" s="1" t="n">
        <v>46220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47753-2024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46220</v>
      </c>
      <c r="F128" t="inlineStr">
        <is>
          <t>VÄSTMANLANDS LÄN</t>
        </is>
      </c>
      <c r="G128" t="inlineStr">
        <is>
          <t>NORBERG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46220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63777-2025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46019</v>
      </c>
      <c r="E130" s="1" t="n">
        <v>46220</v>
      </c>
      <c r="F130" t="inlineStr">
        <is>
          <t>VÄSTMANLANDS LÄN</t>
        </is>
      </c>
      <c r="G130" t="inlineStr">
        <is>
          <t>NORBERG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20407-2026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46220</v>
      </c>
      <c r="F131" t="inlineStr">
        <is>
          <t>VÄSTMANLANDS LÄN</t>
        </is>
      </c>
      <c r="G131" t="inlineStr">
        <is>
          <t>NORBERG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26072-2023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46220</v>
      </c>
      <c r="F132" t="inlineStr">
        <is>
          <t>VÄSTMANLANDS LÄN</t>
        </is>
      </c>
      <c r="G132" t="inlineStr">
        <is>
          <t>NORBERG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46220</v>
      </c>
      <c r="F133" t="inlineStr">
        <is>
          <t>VÄSTMANLANDS LÄN</t>
        </is>
      </c>
      <c r="G133" t="inlineStr">
        <is>
          <t>NORBERG</t>
        </is>
      </c>
      <c r="H133" t="inlineStr">
        <is>
          <t>Bergvik skog väst AB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46220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27589-2024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46220</v>
      </c>
      <c r="F135" t="inlineStr">
        <is>
          <t>VÄSTMANLANDS LÄN</t>
        </is>
      </c>
      <c r="G135" t="inlineStr">
        <is>
          <t>NORBERG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20968-2026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46142</v>
      </c>
      <c r="E136" s="1" t="n">
        <v>46220</v>
      </c>
      <c r="F136" t="inlineStr">
        <is>
          <t>VÄSTMANLANDS LÄN</t>
        </is>
      </c>
      <c r="G136" t="inlineStr">
        <is>
          <t>NORBERG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53224-2024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45613</v>
      </c>
      <c r="E137" s="1" t="n">
        <v>46220</v>
      </c>
      <c r="F137" t="inlineStr">
        <is>
          <t>VÄSTMANLANDS LÄN</t>
        </is>
      </c>
      <c r="G137" t="inlineStr">
        <is>
          <t>NORBERG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46220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46220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21504-2026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46220</v>
      </c>
      <c r="F140" t="inlineStr">
        <is>
          <t>VÄSTMANLANDS LÄN</t>
        </is>
      </c>
      <c r="G140" t="inlineStr">
        <is>
          <t>NORBERG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21526-2026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46220</v>
      </c>
      <c r="F141" t="inlineStr">
        <is>
          <t>VÄSTMANLANDS LÄN</t>
        </is>
      </c>
      <c r="G141" t="inlineStr">
        <is>
          <t>NORBERG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22092-2026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46220</v>
      </c>
      <c r="F142" t="inlineStr">
        <is>
          <t>VÄSTMANLANDS LÄN</t>
        </is>
      </c>
      <c r="G142" t="inlineStr">
        <is>
          <t>NORBERG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46220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46220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40153-2023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45169</v>
      </c>
      <c r="E145" s="1" t="n">
        <v>46220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41448-2024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45560</v>
      </c>
      <c r="E146" s="1" t="n">
        <v>46220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21990-2026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46220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21973-2026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46153</v>
      </c>
      <c r="E148" s="1" t="n">
        <v>46220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21976-2026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46220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21983-2026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46220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21987-2026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46220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46220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27473-2026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46220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28607-2026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46220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46220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45200</v>
      </c>
      <c r="E156" s="1" t="n">
        <v>46220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19164-2025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46220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25540-2023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46220</v>
      </c>
      <c r="F158" t="inlineStr">
        <is>
          <t>VÄSTMANLANDS LÄN</t>
        </is>
      </c>
      <c r="G158" t="inlineStr">
        <is>
          <t>NORBERG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47846-2024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46220</v>
      </c>
      <c r="F159" t="inlineStr">
        <is>
          <t>VÄSTMANLANDS LÄN</t>
        </is>
      </c>
      <c r="G159" t="inlineStr">
        <is>
          <t>NORBERG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46220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21543-2023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45063</v>
      </c>
      <c r="E161" s="1" t="n">
        <v>46220</v>
      </c>
      <c r="F161" t="inlineStr">
        <is>
          <t>VÄSTMANLANDS LÄN</t>
        </is>
      </c>
      <c r="G161" t="inlineStr">
        <is>
          <t>NORBERG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46220</v>
      </c>
      <c r="F162" t="inlineStr">
        <is>
          <t>VÄSTMANLANDS LÄN</t>
        </is>
      </c>
      <c r="G162" t="inlineStr">
        <is>
          <t>NORBERG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46220</v>
      </c>
      <c r="F163" t="inlineStr">
        <is>
          <t>VÄSTMANLANDS LÄN</t>
        </is>
      </c>
      <c r="G163" t="inlineStr">
        <is>
          <t>NORBERG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56400-2025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45974</v>
      </c>
      <c r="E164" s="1" t="n">
        <v>46220</v>
      </c>
      <c r="F164" t="inlineStr">
        <is>
          <t>VÄSTMANLANDS LÄN</t>
        </is>
      </c>
      <c r="G164" t="inlineStr">
        <is>
          <t>NORBERG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67356-2021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44523</v>
      </c>
      <c r="E165" s="1" t="n">
        <v>46220</v>
      </c>
      <c r="F165" t="inlineStr">
        <is>
          <t>VÄSTMANLANDS LÄN</t>
        </is>
      </c>
      <c r="G165" t="inlineStr">
        <is>
          <t>NORBERG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16042-2024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46220</v>
      </c>
      <c r="F166" t="inlineStr">
        <is>
          <t>VÄSTMANLANDS LÄN</t>
        </is>
      </c>
      <c r="G166" t="inlineStr">
        <is>
          <t>NORBERG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46220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46220</v>
      </c>
      <c r="F168" t="inlineStr">
        <is>
          <t>VÄSTMANLANDS LÄN</t>
        </is>
      </c>
      <c r="G168" t="inlineStr">
        <is>
          <t>NORBERG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46220</v>
      </c>
      <c r="F169" t="inlineStr">
        <is>
          <t>VÄSTMANLANDS LÄN</t>
        </is>
      </c>
      <c r="G169" t="inlineStr">
        <is>
          <t>NORBERG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25477-2023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46220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46220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24540-2022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46220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51798-2024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46220</v>
      </c>
      <c r="F173" t="inlineStr">
        <is>
          <t>VÄSTMANLANDS LÄN</t>
        </is>
      </c>
      <c r="G173" t="inlineStr">
        <is>
          <t>NORBERG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25331-2026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46220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46220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40144-2023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46220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46220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46220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46220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46220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46220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46220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23418-2025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46220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S 409-2022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44585</v>
      </c>
      <c r="E184" s="1" t="n">
        <v>46220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606-2026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46085</v>
      </c>
      <c r="E185" s="1" t="n">
        <v>46220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26.4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2026-07-17T01:42:06Z</dcterms:created>
  <dcterms:modified xmlns:dcterms="http://purl.org/dc/terms/" xmlns:xsi="http://www.w3.org/2001/XMLSchema-instance" xsi:type="dcterms:W3CDTF">2026-07-17T01:42:06Z</dcterms:modified>
</cp:coreProperties>
</file>