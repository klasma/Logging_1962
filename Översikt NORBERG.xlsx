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46258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46258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46258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46258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46258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46258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46258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46258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46258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46258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Skogsknipprot</t>
        </is>
      </c>
      <c r="W13">
        <f>HYPERLINK("https://klasma.github.io/Logging_1962/artfynd/A 18464-2025 artfynd.xlsx", "A 18464-2025")</f>
        <v/>
      </c>
      <c r="X13">
        <f>HYPERLINK("https://klasma.github.io/Logging_1962/kartor/A 18464-2025 karta.png", "A 18464-2025")</f>
        <v/>
      </c>
      <c r="Y13">
        <f>HYPERLINK("https://klasma.github.io/Logging_1962/kartor_geotiff/A 18464-2025 georefererad karta.tif", "A 18464-2025")</f>
        <v/>
      </c>
      <c r="AA13">
        <f>HYPERLINK("https://klasma.github.io/Logging_1962/klagomål/A 18464-2025 FSC-klagomål.docx", "A 18464-2025")</f>
        <v/>
      </c>
      <c r="AB13">
        <f>HYPERLINK("https://klasma.github.io/Logging_1962/klagomålsmail/A 18464-2025 FSC-klagomål mail.docx", "A 18464-2025")</f>
        <v/>
      </c>
      <c r="AC13">
        <f>HYPERLINK("https://klasma.github.io/Logging_1962/tillsyn/A 18464-2025 tillsynsbegäran.docx", "A 18464-2025")</f>
        <v/>
      </c>
      <c r="AD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46258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15107-2025 artfynd.xlsx", "A 15107-2025")</f>
        <v/>
      </c>
      <c r="X14">
        <f>HYPERLINK("https://klasma.github.io/Logging_1962/kartor/A 15107-2025 karta.png", "A 15107-2025")</f>
        <v/>
      </c>
      <c r="Y14">
        <f>HYPERLINK("https://klasma.github.io/Logging_1962/kartor_geotiff/A 15107-2025 georefererad karta.tif", "A 15107-2025")</f>
        <v/>
      </c>
      <c r="AA14">
        <f>HYPERLINK("https://klasma.github.io/Logging_1962/klagomål/A 15107-2025 FSC-klagomål.docx", "A 15107-2025")</f>
        <v/>
      </c>
      <c r="AB14">
        <f>HYPERLINK("https://klasma.github.io/Logging_1962/klagomålsmail/A 15107-2025 FSC-klagomål mail.docx", "A 15107-2025")</f>
        <v/>
      </c>
      <c r="AC14">
        <f>HYPERLINK("https://klasma.github.io/Logging_1962/tillsyn/A 15107-2025 tillsynsbegäran.docx", "A 15107-2025")</f>
        <v/>
      </c>
      <c r="AD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46258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46258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46258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46258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A 34230-2026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46258</v>
      </c>
      <c r="F19" t="inlineStr">
        <is>
          <t>VÄSTMANLANDS LÄN</t>
        </is>
      </c>
      <c r="G19" t="inlineStr">
        <is>
          <t>NORBERG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Tvåblad</t>
        </is>
      </c>
      <c r="W19">
        <f>HYPERLINK("https://klasma.github.io/Logging_1962/artfynd/A 34230-2026 artfynd.xlsx", "A 34230-2026")</f>
        <v/>
      </c>
      <c r="X19">
        <f>HYPERLINK("https://klasma.github.io/Logging_1962/kartor/A 34230-2026 karta.png", "A 34230-2026")</f>
        <v/>
      </c>
      <c r="Y19">
        <f>HYPERLINK("https://klasma.github.io/Logging_1962/kartor_geotiff/A 34230-2026 georefererad karta.tif", "A 34230-2026")</f>
        <v/>
      </c>
      <c r="AA19">
        <f>HYPERLINK("https://klasma.github.io/Logging_1962/klagomål/A 34230-2026 FSC-klagomål.docx", "A 34230-2026")</f>
        <v/>
      </c>
      <c r="AB19">
        <f>HYPERLINK("https://klasma.github.io/Logging_1962/klagomålsmail/A 34230-2026 FSC-klagomål mail.docx", "A 34230-2026")</f>
        <v/>
      </c>
      <c r="AC19">
        <f>HYPERLINK("https://klasma.github.io/Logging_1962/tillsyn/A 34230-2026 tillsynsbegäran.docx", "A 34230-2026")</f>
        <v/>
      </c>
      <c r="AD19">
        <f>HYPERLINK("https://klasma.github.io/Logging_1962/tillsynsmail/A 34230-2026 tillsynsbegäran mail.docx", "A 34230-2026")</f>
        <v/>
      </c>
    </row>
    <row r="20" ht="15" customHeight="1">
      <c r="A20" t="inlineStr">
        <is>
          <t>A 34234-2026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46258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34234-2026 artfynd.xlsx", "A 34234-2026")</f>
        <v/>
      </c>
      <c r="X20">
        <f>HYPERLINK("https://klasma.github.io/Logging_1962/kartor/A 34234-2026 karta.png", "A 34234-2026")</f>
        <v/>
      </c>
      <c r="Y20">
        <f>HYPERLINK("https://klasma.github.io/Logging_1962/kartor_geotiff/A 34234-2026 georefererad karta.tif", "A 34234-2026")</f>
        <v/>
      </c>
      <c r="AA20">
        <f>HYPERLINK("https://klasma.github.io/Logging_1962/klagomål/A 34234-2026 FSC-klagomål.docx", "A 34234-2026")</f>
        <v/>
      </c>
      <c r="AB20">
        <f>HYPERLINK("https://klasma.github.io/Logging_1962/klagomålsmail/A 34234-2026 FSC-klagomål mail.docx", "A 34234-2026")</f>
        <v/>
      </c>
      <c r="AC20">
        <f>HYPERLINK("https://klasma.github.io/Logging_1962/tillsyn/A 34234-2026 tillsynsbegäran.docx", "A 34234-2026")</f>
        <v/>
      </c>
      <c r="AD20">
        <f>HYPERLINK("https://klasma.github.io/Logging_1962/tillsynsmail/A 34234-2026 tillsynsbegäran mail.docx", "A 34234-2026")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46258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46258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46258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46258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46258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46258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46258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46258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46258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46258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46258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46258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46258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46258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46258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46258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46258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46258</v>
      </c>
      <c r="F38" t="inlineStr">
        <is>
          <t>VÄSTMANLANDS LÄN</t>
        </is>
      </c>
      <c r="G38" t="inlineStr">
        <is>
          <t>NORBERG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46258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46258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46258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45274</v>
      </c>
      <c r="E42" s="1" t="n">
        <v>46258</v>
      </c>
      <c r="F42" t="inlineStr">
        <is>
          <t>VÄSTMANLANDS LÄN</t>
        </is>
      </c>
      <c r="G42" t="inlineStr">
        <is>
          <t>NORBERG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46258</v>
      </c>
      <c r="F43" t="inlineStr">
        <is>
          <t>VÄSTMANLANDS LÄN</t>
        </is>
      </c>
      <c r="G43" t="inlineStr">
        <is>
          <t>NORBERG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46258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46258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46258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46258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46258</v>
      </c>
      <c r="F48" t="inlineStr">
        <is>
          <t>VÄSTMANLANDS LÄN</t>
        </is>
      </c>
      <c r="G48" t="inlineStr">
        <is>
          <t>NORBERG</t>
        </is>
      </c>
      <c r="H48" t="inlineStr">
        <is>
          <t>Sveaskog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46045-2023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45196</v>
      </c>
      <c r="E49" s="1" t="n">
        <v>46258</v>
      </c>
      <c r="F49" t="inlineStr">
        <is>
          <t>VÄSTMANLANDS LÄN</t>
        </is>
      </c>
      <c r="G49" t="inlineStr">
        <is>
          <t>NORBERG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46258</v>
      </c>
      <c r="F50" t="inlineStr">
        <is>
          <t>VÄSTMANLANDS LÄN</t>
        </is>
      </c>
      <c r="G50" t="inlineStr">
        <is>
          <t>NORBERG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45679</v>
      </c>
      <c r="E51" s="1" t="n">
        <v>46258</v>
      </c>
      <c r="F51" t="inlineStr">
        <is>
          <t>VÄSTMANLANDS LÄN</t>
        </is>
      </c>
      <c r="G51" t="inlineStr">
        <is>
          <t>NORBERG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46258</v>
      </c>
      <c r="F52" t="inlineStr">
        <is>
          <t>VÄSTMANLANDS LÄN</t>
        </is>
      </c>
      <c r="G52" t="inlineStr">
        <is>
          <t>NORBERG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46258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46258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46258</v>
      </c>
      <c r="F55" t="inlineStr">
        <is>
          <t>VÄSTMANLANDS LÄN</t>
        </is>
      </c>
      <c r="G55" t="inlineStr">
        <is>
          <t>NORBERG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45205</v>
      </c>
      <c r="E56" s="1" t="n">
        <v>46258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46258</v>
      </c>
      <c r="F57" t="inlineStr">
        <is>
          <t>VÄSTMANLANDS LÄN</t>
        </is>
      </c>
      <c r="G57" t="inlineStr">
        <is>
          <t>NORBERG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46258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46258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46258</v>
      </c>
      <c r="F60" t="inlineStr">
        <is>
          <t>VÄSTMANLANDS LÄN</t>
        </is>
      </c>
      <c r="G60" t="inlineStr">
        <is>
          <t>NORBERG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46258</v>
      </c>
      <c r="F61" t="inlineStr">
        <is>
          <t>VÄSTMANLANDS LÄN</t>
        </is>
      </c>
      <c r="G61" t="inlineStr">
        <is>
          <t>NORBERG</t>
        </is>
      </c>
      <c r="H61" t="inlineStr">
        <is>
          <t>Bergvik skog väst AB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49763-2024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46258</v>
      </c>
      <c r="F62" t="inlineStr">
        <is>
          <t>VÄSTMANLANDS LÄN</t>
        </is>
      </c>
      <c r="G62" t="inlineStr">
        <is>
          <t>NORBERG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46258</v>
      </c>
      <c r="F63" t="inlineStr">
        <is>
          <t>VÄSTMANLANDS LÄN</t>
        </is>
      </c>
      <c r="G63" t="inlineStr">
        <is>
          <t>NORBERG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46258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9907-2024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45363</v>
      </c>
      <c r="E65" s="1" t="n">
        <v>46258</v>
      </c>
      <c r="F65" t="inlineStr">
        <is>
          <t>VÄSTMANLANDS LÄN</t>
        </is>
      </c>
      <c r="G65" t="inlineStr">
        <is>
          <t>NORBERG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46258</v>
      </c>
      <c r="F66" t="inlineStr">
        <is>
          <t>VÄSTMANLANDS LÄN</t>
        </is>
      </c>
      <c r="G66" t="inlineStr">
        <is>
          <t>NORBERG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46258</v>
      </c>
      <c r="F67" t="inlineStr">
        <is>
          <t>VÄSTMANLANDS LÄN</t>
        </is>
      </c>
      <c r="G67" t="inlineStr">
        <is>
          <t>NORBERG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46258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46258</v>
      </c>
      <c r="F69" t="inlineStr">
        <is>
          <t>VÄSTMANLANDS LÄN</t>
        </is>
      </c>
      <c r="G69" t="inlineStr">
        <is>
          <t>NORBERG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45154</v>
      </c>
      <c r="E70" s="1" t="n">
        <v>46258</v>
      </c>
      <c r="F70" t="inlineStr">
        <is>
          <t>VÄSTMANLANDS LÄN</t>
        </is>
      </c>
      <c r="G70" t="inlineStr">
        <is>
          <t>NORBERG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46258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46258</v>
      </c>
      <c r="F72" t="inlineStr">
        <is>
          <t>VÄSTMANLANDS LÄN</t>
        </is>
      </c>
      <c r="G72" t="inlineStr">
        <is>
          <t>NORBERG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51790-2024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45607</v>
      </c>
      <c r="E73" s="1" t="n">
        <v>46258</v>
      </c>
      <c r="F73" t="inlineStr">
        <is>
          <t>VÄSTMANLANDS LÄN</t>
        </is>
      </c>
      <c r="G73" t="inlineStr">
        <is>
          <t>NORBERG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46258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45567</v>
      </c>
      <c r="E75" s="1" t="n">
        <v>46258</v>
      </c>
      <c r="F75" t="inlineStr">
        <is>
          <t>VÄSTMANLANDS LÄN</t>
        </is>
      </c>
      <c r="G75" t="inlineStr">
        <is>
          <t>NORBERG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46258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46258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46258</v>
      </c>
      <c r="F78" t="inlineStr">
        <is>
          <t>VÄSTMANLANDS LÄN</t>
        </is>
      </c>
      <c r="G78" t="inlineStr">
        <is>
          <t>NORBERG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46258</v>
      </c>
      <c r="F79" t="inlineStr">
        <is>
          <t>VÄSTMANLANDS LÄN</t>
        </is>
      </c>
      <c r="G79" t="inlineStr">
        <is>
          <t>NORBERG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46258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46258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46258</v>
      </c>
      <c r="F82" t="inlineStr">
        <is>
          <t>VÄSTMANLANDS LÄN</t>
        </is>
      </c>
      <c r="G82" t="inlineStr">
        <is>
          <t>NORBERG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46258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46258</v>
      </c>
      <c r="F84" t="inlineStr">
        <is>
          <t>VÄSTMANLANDS LÄN</t>
        </is>
      </c>
      <c r="G84" t="inlineStr">
        <is>
          <t>NORBERG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45989</v>
      </c>
      <c r="E85" s="1" t="n">
        <v>46258</v>
      </c>
      <c r="F85" t="inlineStr">
        <is>
          <t>VÄSTMANLANDS LÄN</t>
        </is>
      </c>
      <c r="G85" t="inlineStr">
        <is>
          <t>NORBERG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46258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45316</v>
      </c>
      <c r="E87" s="1" t="n">
        <v>46258</v>
      </c>
      <c r="F87" t="inlineStr">
        <is>
          <t>VÄSTMANLANDS LÄN</t>
        </is>
      </c>
      <c r="G87" t="inlineStr">
        <is>
          <t>NORBERG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19377-2025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45769</v>
      </c>
      <c r="E88" s="1" t="n">
        <v>46258</v>
      </c>
      <c r="F88" t="inlineStr">
        <is>
          <t>VÄSTMANLANDS LÄN</t>
        </is>
      </c>
      <c r="G88" t="inlineStr">
        <is>
          <t>NORBERG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46258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63505-2023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45274</v>
      </c>
      <c r="E90" s="1" t="n">
        <v>46258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45056</v>
      </c>
      <c r="E91" s="1" t="n">
        <v>46258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46258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45179</v>
      </c>
      <c r="E93" s="1" t="n">
        <v>46258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46258</v>
      </c>
      <c r="F94" t="inlineStr">
        <is>
          <t>VÄSTMANLANDS LÄN</t>
        </is>
      </c>
      <c r="G94" t="inlineStr">
        <is>
          <t>NORBERG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46258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46258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46258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44691</v>
      </c>
      <c r="E98" s="1" t="n">
        <v>46258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20378-2023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45056</v>
      </c>
      <c r="E99" s="1" t="n">
        <v>46258</v>
      </c>
      <c r="F99" t="inlineStr">
        <is>
          <t>VÄSTMANLANDS LÄN</t>
        </is>
      </c>
      <c r="G99" t="inlineStr">
        <is>
          <t>NORBERG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46258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46258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46258</v>
      </c>
      <c r="F102" t="inlineStr">
        <is>
          <t>VÄSTMANLANDS LÄN</t>
        </is>
      </c>
      <c r="G102" t="inlineStr">
        <is>
          <t>NORBERG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46020</v>
      </c>
      <c r="E103" s="1" t="n">
        <v>46258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46258</v>
      </c>
      <c r="F104" t="inlineStr">
        <is>
          <t>VÄSTMANLANDS LÄN</t>
        </is>
      </c>
      <c r="G104" t="inlineStr">
        <is>
          <t>NORBERG</t>
        </is>
      </c>
      <c r="I104" t="n">
        <v>22.4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46258</v>
      </c>
      <c r="F105" t="inlineStr">
        <is>
          <t>VÄSTMANLANDS LÄN</t>
        </is>
      </c>
      <c r="G105" t="inlineStr">
        <is>
          <t>NORBERG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45588</v>
      </c>
      <c r="E106" s="1" t="n">
        <v>46258</v>
      </c>
      <c r="F106" t="inlineStr">
        <is>
          <t>VÄSTMANLANDS LÄN</t>
        </is>
      </c>
      <c r="G106" t="inlineStr">
        <is>
          <t>NORBERG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46258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46258</v>
      </c>
      <c r="F108" t="inlineStr">
        <is>
          <t>VÄSTMANLANDS LÄN</t>
        </is>
      </c>
      <c r="G108" t="inlineStr">
        <is>
          <t>NORBERG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45729</v>
      </c>
      <c r="E109" s="1" t="n">
        <v>46258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46258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46258</v>
      </c>
      <c r="F111" t="inlineStr">
        <is>
          <t>VÄSTMANLANDS LÄN</t>
        </is>
      </c>
      <c r="G111" t="inlineStr">
        <is>
          <t>NORBERG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46258</v>
      </c>
      <c r="F112" t="inlineStr">
        <is>
          <t>VÄSTMANLANDS LÄN</t>
        </is>
      </c>
      <c r="G112" t="inlineStr">
        <is>
          <t>NORBERG</t>
        </is>
      </c>
      <c r="H112" t="inlineStr">
        <is>
          <t>Övriga Aktiebolag</t>
        </is>
      </c>
      <c r="I112" t="n">
        <v>15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46258</v>
      </c>
      <c r="F113" t="inlineStr">
        <is>
          <t>VÄSTMANLANDS LÄN</t>
        </is>
      </c>
      <c r="G113" t="inlineStr">
        <is>
          <t>NORBERG</t>
        </is>
      </c>
      <c r="H113" t="inlineStr">
        <is>
          <t>Övriga Aktiebolag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46258</v>
      </c>
      <c r="F114" t="inlineStr">
        <is>
          <t>VÄSTMANLANDS LÄN</t>
        </is>
      </c>
      <c r="G114" t="inlineStr">
        <is>
          <t>NORBERG</t>
        </is>
      </c>
      <c r="H114" t="inlineStr">
        <is>
          <t>Övriga Aktiebolag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25331-2026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46176</v>
      </c>
      <c r="E115" s="1" t="n">
        <v>46258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46258</v>
      </c>
      <c r="F116" t="inlineStr">
        <is>
          <t>VÄSTMANLANDS LÄN</t>
        </is>
      </c>
      <c r="G116" t="inlineStr">
        <is>
          <t>NORBERG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45994</v>
      </c>
      <c r="E117" s="1" t="n">
        <v>46258</v>
      </c>
      <c r="F117" t="inlineStr">
        <is>
          <t>VÄSTMANLANDS LÄN</t>
        </is>
      </c>
      <c r="G117" t="inlineStr">
        <is>
          <t>NORBERG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45613</v>
      </c>
      <c r="E118" s="1" t="n">
        <v>46258</v>
      </c>
      <c r="F118" t="inlineStr">
        <is>
          <t>VÄSTMANLANDS LÄN</t>
        </is>
      </c>
      <c r="G118" t="inlineStr">
        <is>
          <t>NORBERG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46223</v>
      </c>
      <c r="E119" s="1" t="n">
        <v>46258</v>
      </c>
      <c r="F119" t="inlineStr">
        <is>
          <t>VÄSTMANLANDS LÄN</t>
        </is>
      </c>
      <c r="G119" t="inlineStr">
        <is>
          <t>NORBERG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46258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46258</v>
      </c>
      <c r="F121" t="inlineStr">
        <is>
          <t>VÄSTMANLANDS LÄN</t>
        </is>
      </c>
      <c r="G121" t="inlineStr">
        <is>
          <t>NORBERG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46258</v>
      </c>
      <c r="F122" t="inlineStr">
        <is>
          <t>VÄSTMANLANDS LÄN</t>
        </is>
      </c>
      <c r="G122" t="inlineStr">
        <is>
          <t>NORBERG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46258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31967-2026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46232</v>
      </c>
      <c r="E124" s="1" t="n">
        <v>46258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46258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46258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46099</v>
      </c>
      <c r="E127" s="1" t="n">
        <v>46258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46232</v>
      </c>
      <c r="E128" s="1" t="n">
        <v>46258</v>
      </c>
      <c r="F128" t="inlineStr">
        <is>
          <t>VÄSTMANLANDS LÄN</t>
        </is>
      </c>
      <c r="G128" t="inlineStr">
        <is>
          <t>NORBERG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46233</v>
      </c>
      <c r="E129" s="1" t="n">
        <v>46258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46258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46258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46258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46258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46258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46258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46258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32385-2026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46238</v>
      </c>
      <c r="E137" s="1" t="n">
        <v>46258</v>
      </c>
      <c r="F137" t="inlineStr">
        <is>
          <t>VÄSTMANLANDS LÄN</t>
        </is>
      </c>
      <c r="G137" t="inlineStr">
        <is>
          <t>NORBERG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46258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46258</v>
      </c>
      <c r="F139" t="inlineStr">
        <is>
          <t>VÄSTMANLANDS LÄN</t>
        </is>
      </c>
      <c r="G139" t="inlineStr">
        <is>
          <t>NORBERG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46258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46258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46114</v>
      </c>
      <c r="E142" s="1" t="n">
        <v>46258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46258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46258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45632</v>
      </c>
      <c r="E145" s="1" t="n">
        <v>46258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46258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46258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46258</v>
      </c>
      <c r="F148" t="inlineStr">
        <is>
          <t>VÄSTMANLANDS LÄN</t>
        </is>
      </c>
      <c r="G148" t="inlineStr">
        <is>
          <t>NORBERG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46258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67356-2021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46258</v>
      </c>
      <c r="F150" t="inlineStr">
        <is>
          <t>VÄSTMANLANDS LÄN</t>
        </is>
      </c>
      <c r="G150" t="inlineStr">
        <is>
          <t>NORBERG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46258</v>
      </c>
      <c r="F151" t="inlineStr">
        <is>
          <t>VÄSTMANLANDS LÄN</t>
        </is>
      </c>
      <c r="G151" t="inlineStr">
        <is>
          <t>NORBERG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46258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46258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46258</v>
      </c>
      <c r="F154" t="inlineStr">
        <is>
          <t>VÄSTMANLANDS LÄN</t>
        </is>
      </c>
      <c r="G154" t="inlineStr">
        <is>
          <t>NORBERG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46258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46258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56940-2021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44480</v>
      </c>
      <c r="E157" s="1" t="n">
        <v>46258</v>
      </c>
      <c r="F157" t="inlineStr">
        <is>
          <t>VÄSTMANLANDS LÄN</t>
        </is>
      </c>
      <c r="G157" t="inlineStr">
        <is>
          <t>NORBERG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45554</v>
      </c>
      <c r="E158" s="1" t="n">
        <v>46258</v>
      </c>
      <c r="F158" t="inlineStr">
        <is>
          <t>VÄSTMANLANDS LÄN</t>
        </is>
      </c>
      <c r="G158" t="inlineStr">
        <is>
          <t>NORBERG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46258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45598</v>
      </c>
      <c r="E160" s="1" t="n">
        <v>46258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45121</v>
      </c>
      <c r="E161" s="1" t="n">
        <v>46258</v>
      </c>
      <c r="F161" t="inlineStr">
        <is>
          <t>VÄSTMANLANDS LÄN</t>
        </is>
      </c>
      <c r="G161" t="inlineStr">
        <is>
          <t>NORBERG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46258</v>
      </c>
      <c r="F162" t="inlineStr">
        <is>
          <t>VÄSTMANLANDS LÄN</t>
        </is>
      </c>
      <c r="G162" t="inlineStr">
        <is>
          <t>NORBERG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46019</v>
      </c>
      <c r="E163" s="1" t="n">
        <v>46258</v>
      </c>
      <c r="F163" t="inlineStr">
        <is>
          <t>VÄSTMANLANDS LÄN</t>
        </is>
      </c>
      <c r="G163" t="inlineStr">
        <is>
          <t>NORBERG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46258</v>
      </c>
      <c r="F164" t="inlineStr">
        <is>
          <t>VÄSTMANLANDS LÄN</t>
        </is>
      </c>
      <c r="G164" t="inlineStr">
        <is>
          <t>NORBERG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46258</v>
      </c>
      <c r="F165" t="inlineStr">
        <is>
          <t>VÄSTMANLANDS LÄN</t>
        </is>
      </c>
      <c r="G165" t="inlineStr">
        <is>
          <t>NORBERG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46258</v>
      </c>
      <c r="F166" t="inlineStr">
        <is>
          <t>VÄSTMANLANDS LÄN</t>
        </is>
      </c>
      <c r="G166" t="inlineStr">
        <is>
          <t>NORBERG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46258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46258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24540-2022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46258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46258</v>
      </c>
      <c r="F170" t="inlineStr">
        <is>
          <t>VÄSTMANLANDS LÄN</t>
        </is>
      </c>
      <c r="G170" t="inlineStr">
        <is>
          <t>NORBERG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20968-2026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46142</v>
      </c>
      <c r="E171" s="1" t="n">
        <v>46258</v>
      </c>
      <c r="F171" t="inlineStr">
        <is>
          <t>VÄSTMANLANDS LÄN</t>
        </is>
      </c>
      <c r="G171" t="inlineStr">
        <is>
          <t>NORBERG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46258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46258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46258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12.1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46258</v>
      </c>
      <c r="F175" t="inlineStr">
        <is>
          <t>VÄSTMANLANDS LÄN</t>
        </is>
      </c>
      <c r="G175" t="inlineStr">
        <is>
          <t>NORBERG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46258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46258</v>
      </c>
      <c r="F177" t="inlineStr">
        <is>
          <t>VÄSTMANLANDS LÄN</t>
        </is>
      </c>
      <c r="G177" t="inlineStr">
        <is>
          <t>NORBERG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46258</v>
      </c>
      <c r="F178" t="inlineStr">
        <is>
          <t>VÄSTMANLANDS LÄN</t>
        </is>
      </c>
      <c r="G178" t="inlineStr">
        <is>
          <t>NORBERG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46258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46258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46258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46258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46258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46258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46258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46258</v>
      </c>
      <c r="F186" t="inlineStr">
        <is>
          <t>VÄSTMANLANDS LÄN</t>
        </is>
      </c>
      <c r="G186" t="inlineStr">
        <is>
          <t>NORBERG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56400-2025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45974</v>
      </c>
      <c r="E187" s="1" t="n">
        <v>46258</v>
      </c>
      <c r="F187" t="inlineStr">
        <is>
          <t>VÄSTMANLANDS LÄN</t>
        </is>
      </c>
      <c r="G187" t="inlineStr">
        <is>
          <t>NORBERG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46258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46258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46258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46258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46258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46258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2026-08-24T01:48:10Z</dcterms:created>
  <dcterms:modified xmlns:dcterms="http://purl.org/dc/terms/" xmlns:xsi="http://www.w3.org/2001/XMLSchema-instance" xsi:type="dcterms:W3CDTF">2026-08-24T01:48:11Z</dcterms:modified>
</cp:coreProperties>
</file>