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46289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46289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46289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36009-2026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46266</v>
      </c>
      <c r="E9" s="1" t="n">
        <v>46289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8.6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Plattlummer
Gullviva</t>
        </is>
      </c>
      <c r="W9">
        <f>HYPERLINK("https://klasma.github.io/Logging_1962/artfynd/A 36009-2026 artfynd.xlsx", "A 36009-2026")</f>
        <v/>
      </c>
      <c r="X9">
        <f>HYPERLINK("https://klasma.github.io/Logging_1962/kartor/A 36009-2026 karta.png", "A 36009-2026")</f>
        <v/>
      </c>
      <c r="Y9">
        <f>HYPERLINK("https://klasma.github.io/Logging_1962/kartor_geotiff/A 36009-2026 georefererad karta.tif", "A 36009-2026")</f>
        <v/>
      </c>
      <c r="AA9">
        <f>HYPERLINK("https://klasma.github.io/Logging_1962/klagomål/A 36009-2026 FSC-klagomål.docx", "A 36009-2026")</f>
        <v/>
      </c>
      <c r="AB9">
        <f>HYPERLINK("https://klasma.github.io/Logging_1962/klagomålsmail/A 36009-2026 FSC-klagomål mail.docx", "A 36009-2026")</f>
        <v/>
      </c>
      <c r="AC9">
        <f>HYPERLINK("https://klasma.github.io/Logging_1962/tillsyn/A 36009-2026 tillsynsbegäran.docx", "A 36009-2026")</f>
        <v/>
      </c>
      <c r="AD9">
        <f>HYPERLINK("https://klasma.github.io/Logging_1962/tillsynsmail/A 36009-2026 tillsynsbegäran mail.docx", "A 36009-2026")</f>
        <v/>
      </c>
    </row>
    <row r="10" ht="15" customHeight="1">
      <c r="A10" t="inlineStr">
        <is>
          <t>A 15262-2026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46105</v>
      </c>
      <c r="E10" s="1" t="n">
        <v>46289</v>
      </c>
      <c r="F10" t="inlineStr">
        <is>
          <t>VÄSTMANLANDS LÄN</t>
        </is>
      </c>
      <c r="G10" t="inlineStr">
        <is>
          <t>NORBERG</t>
        </is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Brunklöver
Tvåblad</t>
        </is>
      </c>
      <c r="W10">
        <f>HYPERLINK("https://klasma.github.io/Logging_1962/artfynd/A 15262-2026 artfynd.xlsx", "A 15262-2026")</f>
        <v/>
      </c>
      <c r="X10">
        <f>HYPERLINK("https://klasma.github.io/Logging_1962/kartor/A 15262-2026 karta.png", "A 15262-2026")</f>
        <v/>
      </c>
      <c r="Y10">
        <f>HYPERLINK("https://klasma.github.io/Logging_1962/kartor_geotiff/A 15262-2026 georefererad karta.tif", "A 15262-2026")</f>
        <v/>
      </c>
      <c r="AA10">
        <f>HYPERLINK("https://klasma.github.io/Logging_1962/klagomål/A 15262-2026 FSC-klagomål.docx", "A 15262-2026")</f>
        <v/>
      </c>
      <c r="AB10">
        <f>HYPERLINK("https://klasma.github.io/Logging_1962/klagomålsmail/A 15262-2026 FSC-klagomål mail.docx", "A 15262-2026")</f>
        <v/>
      </c>
      <c r="AC10">
        <f>HYPERLINK("https://klasma.github.io/Logging_1962/tillsyn/A 15262-2026 tillsynsbegäran.docx", "A 15262-2026")</f>
        <v/>
      </c>
      <c r="AD10">
        <f>HYPERLINK("https://klasma.github.io/Logging_1962/tillsynsmail/A 15262-2026 tillsynsbegäran mail.docx", "A 15262-2026")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46289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46289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46289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46289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46289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20257-2025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45773</v>
      </c>
      <c r="E16" s="1" t="n">
        <v>46289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20257-2025 artfynd.xlsx", "A 20257-2025")</f>
        <v/>
      </c>
      <c r="X16">
        <f>HYPERLINK("https://klasma.github.io/Logging_1962/kartor/A 20257-2025 karta.png", "A 20257-2025")</f>
        <v/>
      </c>
      <c r="Y16">
        <f>HYPERLINK("https://klasma.github.io/Logging_1962/kartor_geotiff/A 20257-2025 georefererad karta.tif", "A 20257-2025")</f>
        <v/>
      </c>
      <c r="AA16">
        <f>HYPERLINK("https://klasma.github.io/Logging_1962/klagomål/A 20257-2025 FSC-klagomål.docx", "A 20257-2025")</f>
        <v/>
      </c>
      <c r="AB16">
        <f>HYPERLINK("https://klasma.github.io/Logging_1962/klagomålsmail/A 20257-2025 FSC-klagomål mail.docx", "A 20257-2025")</f>
        <v/>
      </c>
      <c r="AC16">
        <f>HYPERLINK("https://klasma.github.io/Logging_1962/tillsyn/A 20257-2025 tillsynsbegäran.docx", "A 20257-2025")</f>
        <v/>
      </c>
      <c r="AD16">
        <f>HYPERLINK("https://klasma.github.io/Logging_1962/tillsynsmail/A 20257-2025 tillsynsbegäran mail.docx", "A 20257-2025")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46289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46289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46289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38927-2026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46289</v>
      </c>
      <c r="F20" t="inlineStr">
        <is>
          <t>VÄSTMANLANDS LÄN</t>
        </is>
      </c>
      <c r="G20" t="inlineStr">
        <is>
          <t>NORBERG</t>
        </is>
      </c>
      <c r="I20" t="n">
        <v>2.9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HYPERLINK("https://klasma.github.io/Logging_1962/artfynd/A 38927-2026 artfynd.xlsx", "A 38927-2026")</f>
        <v/>
      </c>
      <c r="X20">
        <f>HYPERLINK("https://klasma.github.io/Logging_1962/kartor/A 38927-2026 karta.png", "A 38927-2026")</f>
        <v/>
      </c>
      <c r="Y20">
        <f>HYPERLINK("https://klasma.github.io/Logging_1962/kartor_geotiff/A 38927-2026 georefererad karta.tif", "A 38927-2026")</f>
        <v/>
      </c>
      <c r="AA20">
        <f>HYPERLINK("https://klasma.github.io/Logging_1962/klagomål/A 38927-2026 FSC-klagomål.docx", "A 38927-2026")</f>
        <v/>
      </c>
      <c r="AB20">
        <f>HYPERLINK("https://klasma.github.io/Logging_1962/klagomålsmail/A 38927-2026 FSC-klagomål mail.docx", "A 38927-2026")</f>
        <v/>
      </c>
      <c r="AC20">
        <f>HYPERLINK("https://klasma.github.io/Logging_1962/tillsyn/A 38927-2026 tillsynsbegäran.docx", "A 38927-2026")</f>
        <v/>
      </c>
      <c r="AD20">
        <f>HYPERLINK("https://klasma.github.io/Logging_1962/tillsynsmail/A 38927-2026 tillsynsbegäran mail.docx", "A 38927-2026")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46289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20407-2026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46289</v>
      </c>
      <c r="F22" t="inlineStr">
        <is>
          <t>VÄSTMANLANDS LÄN</t>
        </is>
      </c>
      <c r="G22" t="inlineStr">
        <is>
          <t>NORBERG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HYPERLINK("https://klasma.github.io/Logging_1962/artfynd/A 20407-2026 artfynd.xlsx", "A 20407-2026")</f>
        <v/>
      </c>
      <c r="X22">
        <f>HYPERLINK("https://klasma.github.io/Logging_1962/kartor/A 20407-2026 karta.png", "A 20407-2026")</f>
        <v/>
      </c>
      <c r="Y22">
        <f>HYPERLINK("https://klasma.github.io/Logging_1962/kartor_geotiff/A 20407-2026 georefererad karta.tif", "A 20407-2026")</f>
        <v/>
      </c>
      <c r="AA22">
        <f>HYPERLINK("https://klasma.github.io/Logging_1962/klagomål/A 20407-2026 FSC-klagomål.docx", "A 20407-2026")</f>
        <v/>
      </c>
      <c r="AB22">
        <f>HYPERLINK("https://klasma.github.io/Logging_1962/klagomålsmail/A 20407-2026 FSC-klagomål mail.docx", "A 20407-2026")</f>
        <v/>
      </c>
      <c r="AC22">
        <f>HYPERLINK("https://klasma.github.io/Logging_1962/tillsyn/A 20407-2026 tillsynsbegäran.docx", "A 20407-2026")</f>
        <v/>
      </c>
      <c r="AD22">
        <f>HYPERLINK("https://klasma.github.io/Logging_1962/tillsynsmail/A 20407-2026 tillsynsbegäran mail.docx", "A 20407-2026")</f>
        <v/>
      </c>
      <c r="AE22">
        <f>HYPERLINK("https://klasma.github.io/Logging_1962/fåglar/A 20407-2026 prioriterade fågelarter.docx", "A 20407-2026")</f>
        <v/>
      </c>
    </row>
    <row r="23" ht="15" customHeight="1">
      <c r="A23" t="inlineStr">
        <is>
          <t>A 61099-2024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46289</v>
      </c>
      <c r="F23" t="inlineStr">
        <is>
          <t>VÄSTMANLANDS LÄN</t>
        </is>
      </c>
      <c r="G23" t="inlineStr">
        <is>
          <t>NORBERG</t>
        </is>
      </c>
      <c r="I23" t="n">
        <v>0.4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61099-2024 artfynd.xlsx", "A 61099-2024")</f>
        <v/>
      </c>
      <c r="X23">
        <f>HYPERLINK("https://klasma.github.io/Logging_1962/kartor/A 61099-2024 karta.png", "A 61099-2024")</f>
        <v/>
      </c>
      <c r="Y23">
        <f>HYPERLINK("https://klasma.github.io/Logging_1962/kartor_geotiff/A 61099-2024 georefererad karta.tif", "A 61099-2024")</f>
        <v/>
      </c>
      <c r="AA23">
        <f>HYPERLINK("https://klasma.github.io/Logging_1962/klagomål/A 61099-2024 FSC-klagomål.docx", "A 61099-2024")</f>
        <v/>
      </c>
      <c r="AB23">
        <f>HYPERLINK("https://klasma.github.io/Logging_1962/klagomålsmail/A 61099-2024 FSC-klagomål mail.docx", "A 61099-2024")</f>
        <v/>
      </c>
      <c r="AC23">
        <f>HYPERLINK("https://klasma.github.io/Logging_1962/tillsyn/A 61099-2024 tillsynsbegäran.docx", "A 61099-2024")</f>
        <v/>
      </c>
      <c r="AD23">
        <f>HYPERLINK("https://klasma.github.io/Logging_1962/tillsynsmail/A 61099-2024 tillsynsbegäran mail.docx", "A 61099-2024")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46289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46289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46289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34230-2026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46289</v>
      </c>
      <c r="F27" t="inlineStr">
        <is>
          <t>VÄSTMANLANDS LÄN</t>
        </is>
      </c>
      <c r="G27" t="inlineStr">
        <is>
          <t>NORBERG</t>
        </is>
      </c>
      <c r="I27" t="n">
        <v>2.4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34230-2026 artfynd.xlsx", "A 34230-2026")</f>
        <v/>
      </c>
      <c r="X27">
        <f>HYPERLINK("https://klasma.github.io/Logging_1962/kartor/A 34230-2026 karta.png", "A 34230-2026")</f>
        <v/>
      </c>
      <c r="Y27">
        <f>HYPERLINK("https://klasma.github.io/Logging_1962/kartor_geotiff/A 34230-2026 georefererad karta.tif", "A 34230-2026")</f>
        <v/>
      </c>
      <c r="AA27">
        <f>HYPERLINK("https://klasma.github.io/Logging_1962/klagomål/A 34230-2026 FSC-klagomål.docx", "A 34230-2026")</f>
        <v/>
      </c>
      <c r="AB27">
        <f>HYPERLINK("https://klasma.github.io/Logging_1962/klagomålsmail/A 34230-2026 FSC-klagomål mail.docx", "A 34230-2026")</f>
        <v/>
      </c>
      <c r="AC27">
        <f>HYPERLINK("https://klasma.github.io/Logging_1962/tillsyn/A 34230-2026 tillsynsbegäran.docx", "A 34230-2026")</f>
        <v/>
      </c>
      <c r="AD27">
        <f>HYPERLINK("https://klasma.github.io/Logging_1962/tillsynsmail/A 34230-2026 tillsynsbegäran mail.docx", "A 34230-2026")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46289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46289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46289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46289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46289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46289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46289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46289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46289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46289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46289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46289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46289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46289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46289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46289</v>
      </c>
      <c r="F46" t="inlineStr">
        <is>
          <t>VÄSTMANLANDS LÄN</t>
        </is>
      </c>
      <c r="G46" t="inlineStr">
        <is>
          <t>NORBERG</t>
        </is>
      </c>
      <c r="H46" t="inlineStr">
        <is>
          <t>Sveaskog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46289</v>
      </c>
      <c r="F47" t="inlineStr">
        <is>
          <t>VÄSTMANLANDS LÄN</t>
        </is>
      </c>
      <c r="G47" t="inlineStr">
        <is>
          <t>NORBERG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45705</v>
      </c>
      <c r="E48" s="1" t="n">
        <v>46289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46289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67356-2021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46289</v>
      </c>
      <c r="F50" t="inlineStr">
        <is>
          <t>VÄSTMANLANDS LÄN</t>
        </is>
      </c>
      <c r="G50" t="inlineStr">
        <is>
          <t>NORBERG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46289</v>
      </c>
      <c r="F51" t="inlineStr">
        <is>
          <t>VÄSTMANLANDS LÄN</t>
        </is>
      </c>
      <c r="G51" t="inlineStr">
        <is>
          <t>NORBERG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37198-2023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46289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50124-2022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44860</v>
      </c>
      <c r="E53" s="1" t="n">
        <v>46289</v>
      </c>
      <c r="F53" t="inlineStr">
        <is>
          <t>VÄSTMANLANDS LÄN</t>
        </is>
      </c>
      <c r="G53" t="inlineStr">
        <is>
          <t>NORBERG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45200</v>
      </c>
      <c r="E54" s="1" t="n">
        <v>46289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46289</v>
      </c>
      <c r="F55" t="inlineStr">
        <is>
          <t>VÄSTMANLANDS LÄN</t>
        </is>
      </c>
      <c r="G55" t="inlineStr">
        <is>
          <t>NORBERG</t>
        </is>
      </c>
      <c r="H55" t="inlineStr">
        <is>
          <t>Övriga Aktiebolag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46289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45764</v>
      </c>
      <c r="E57" s="1" t="n">
        <v>46289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45474</v>
      </c>
      <c r="E58" s="1" t="n">
        <v>46289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45474</v>
      </c>
      <c r="E59" s="1" t="n">
        <v>46289</v>
      </c>
      <c r="F59" t="inlineStr">
        <is>
          <t>VÄSTMANLANDS LÄN</t>
        </is>
      </c>
      <c r="G59" t="inlineStr">
        <is>
          <t>NORBERG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46289</v>
      </c>
      <c r="F60" t="inlineStr">
        <is>
          <t>VÄSTMANLANDS LÄN</t>
        </is>
      </c>
      <c r="G60" t="inlineStr">
        <is>
          <t>NORBERG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45103</v>
      </c>
      <c r="E61" s="1" t="n">
        <v>46289</v>
      </c>
      <c r="F61" t="inlineStr">
        <is>
          <t>VÄSTMANLANDS LÄN</t>
        </is>
      </c>
      <c r="G61" t="inlineStr">
        <is>
          <t>NORBERG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46289</v>
      </c>
      <c r="F62" t="inlineStr">
        <is>
          <t>VÄSTMANLANDS LÄN</t>
        </is>
      </c>
      <c r="G62" t="inlineStr">
        <is>
          <t>NORBERG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46289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46289</v>
      </c>
      <c r="F64" t="inlineStr">
        <is>
          <t>VÄSTMANLANDS LÄN</t>
        </is>
      </c>
      <c r="G64" t="inlineStr">
        <is>
          <t>NORBERG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46289</v>
      </c>
      <c r="F65" t="inlineStr">
        <is>
          <t>VÄSTMANLANDS LÄN</t>
        </is>
      </c>
      <c r="G65" t="inlineStr">
        <is>
          <t>NORBERG</t>
        </is>
      </c>
      <c r="H65" t="inlineStr">
        <is>
          <t>Bergvik skog väst AB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45320</v>
      </c>
      <c r="E66" s="1" t="n">
        <v>46289</v>
      </c>
      <c r="F66" t="inlineStr">
        <is>
          <t>VÄSTMANLANDS LÄN</t>
        </is>
      </c>
      <c r="G66" t="inlineStr">
        <is>
          <t>NORBERG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46289</v>
      </c>
      <c r="F67" t="inlineStr">
        <is>
          <t>VÄSTMANLANDS LÄN</t>
        </is>
      </c>
      <c r="G67" t="inlineStr">
        <is>
          <t>NORBERG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36905-2023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45154</v>
      </c>
      <c r="E68" s="1" t="n">
        <v>46289</v>
      </c>
      <c r="F68" t="inlineStr">
        <is>
          <t>VÄSTMANLANDS LÄN</t>
        </is>
      </c>
      <c r="G68" t="inlineStr">
        <is>
          <t>NORBERG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46289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46289</v>
      </c>
      <c r="F70" t="inlineStr">
        <is>
          <t>VÄSTMANLANDS LÄN</t>
        </is>
      </c>
      <c r="G70" t="inlineStr">
        <is>
          <t>NORBERG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46289</v>
      </c>
      <c r="F71" t="inlineStr">
        <is>
          <t>VÄSTMANLANDS LÄN</t>
        </is>
      </c>
      <c r="G71" t="inlineStr">
        <is>
          <t>NORBERG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46289</v>
      </c>
      <c r="F72" t="inlineStr">
        <is>
          <t>VÄSTMANLANDS LÄN</t>
        </is>
      </c>
      <c r="G72" t="inlineStr">
        <is>
          <t>NORBERG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46289</v>
      </c>
      <c r="F73" t="inlineStr">
        <is>
          <t>VÄSTMANLANDS LÄN</t>
        </is>
      </c>
      <c r="G73" t="inlineStr">
        <is>
          <t>NORBERG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46289</v>
      </c>
      <c r="F74" t="inlineStr">
        <is>
          <t>VÄSTMANLANDS LÄN</t>
        </is>
      </c>
      <c r="G74" t="inlineStr">
        <is>
          <t>NORBERG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45588</v>
      </c>
      <c r="E75" s="1" t="n">
        <v>46289</v>
      </c>
      <c r="F75" t="inlineStr">
        <is>
          <t>VÄSTMANLANDS LÄN</t>
        </is>
      </c>
      <c r="G75" t="inlineStr">
        <is>
          <t>NORBERG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16225-2023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46289</v>
      </c>
      <c r="F76" t="inlineStr">
        <is>
          <t>VÄSTMANLANDS LÄN</t>
        </is>
      </c>
      <c r="G76" t="inlineStr">
        <is>
          <t>NORBERG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20378-2023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45056</v>
      </c>
      <c r="E77" s="1" t="n">
        <v>46289</v>
      </c>
      <c r="F77" t="inlineStr">
        <is>
          <t>VÄSTMANLANDS LÄN</t>
        </is>
      </c>
      <c r="G77" t="inlineStr">
        <is>
          <t>NORBERG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45567</v>
      </c>
      <c r="E78" s="1" t="n">
        <v>46289</v>
      </c>
      <c r="F78" t="inlineStr">
        <is>
          <t>VÄSTMANLANDS LÄN</t>
        </is>
      </c>
      <c r="G78" t="inlineStr">
        <is>
          <t>NORBERG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46289</v>
      </c>
      <c r="F79" t="inlineStr">
        <is>
          <t>VÄSTMANLANDS LÄN</t>
        </is>
      </c>
      <c r="G79" t="inlineStr">
        <is>
          <t>NORBERG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46289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8.800000000000001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49001-2025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46289</v>
      </c>
      <c r="F81" t="inlineStr">
        <is>
          <t>VÄSTMANLANDS LÄN</t>
        </is>
      </c>
      <c r="G81" t="inlineStr">
        <is>
          <t>NORBERG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46289</v>
      </c>
      <c r="F82" t="inlineStr">
        <is>
          <t>VÄSTMANLANDS LÄN</t>
        </is>
      </c>
      <c r="G82" t="inlineStr">
        <is>
          <t>NORBERG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46289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46289</v>
      </c>
      <c r="F84" t="inlineStr">
        <is>
          <t>VÄSTMANLANDS LÄN</t>
        </is>
      </c>
      <c r="G84" t="inlineStr">
        <is>
          <t>NORBERG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37200-2023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46289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46289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45121</v>
      </c>
      <c r="E87" s="1" t="n">
        <v>46289</v>
      </c>
      <c r="F87" t="inlineStr">
        <is>
          <t>VÄSTMANLANDS LÄN</t>
        </is>
      </c>
      <c r="G87" t="inlineStr">
        <is>
          <t>NORBERG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11099-2022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44628</v>
      </c>
      <c r="E88" s="1" t="n">
        <v>46289</v>
      </c>
      <c r="F88" t="inlineStr">
        <is>
          <t>VÄSTMANLANDS LÄN</t>
        </is>
      </c>
      <c r="G88" t="inlineStr">
        <is>
          <t>NORBERG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21232-2024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46289</v>
      </c>
      <c r="F89" t="inlineStr">
        <is>
          <t>VÄSTMANLANDS LÄN</t>
        </is>
      </c>
      <c r="G89" t="inlineStr">
        <is>
          <t>NORBERG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46289</v>
      </c>
      <c r="F90" t="inlineStr">
        <is>
          <t>VÄSTMANLANDS LÄN</t>
        </is>
      </c>
      <c r="G90" t="inlineStr">
        <is>
          <t>NORBERG</t>
        </is>
      </c>
      <c r="H90" t="inlineStr">
        <is>
          <t>Bergvik skog väst AB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45966</v>
      </c>
      <c r="E91" s="1" t="n">
        <v>46289</v>
      </c>
      <c r="F91" t="inlineStr">
        <is>
          <t>VÄSTMANLANDS LÄN</t>
        </is>
      </c>
      <c r="G91" t="inlineStr">
        <is>
          <t>NORBERG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45613</v>
      </c>
      <c r="E92" s="1" t="n">
        <v>46289</v>
      </c>
      <c r="F92" t="inlineStr">
        <is>
          <t>VÄSTMANLANDS LÄN</t>
        </is>
      </c>
      <c r="G92" t="inlineStr">
        <is>
          <t>NORBERG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45607</v>
      </c>
      <c r="E93" s="1" t="n">
        <v>46289</v>
      </c>
      <c r="F93" t="inlineStr">
        <is>
          <t>VÄSTMANLANDS LÄN</t>
        </is>
      </c>
      <c r="G93" t="inlineStr">
        <is>
          <t>NORBERG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46289</v>
      </c>
      <c r="F94" t="inlineStr">
        <is>
          <t>VÄSTMANLANDS LÄN</t>
        </is>
      </c>
      <c r="G94" t="inlineStr">
        <is>
          <t>NORBERG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54306-2023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45232</v>
      </c>
      <c r="E95" s="1" t="n">
        <v>46289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59705-2024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46289</v>
      </c>
      <c r="F96" t="inlineStr">
        <is>
          <t>VÄSTMANLANDS LÄN</t>
        </is>
      </c>
      <c r="G96" t="inlineStr">
        <is>
          <t>NORBERG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46289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45408</v>
      </c>
      <c r="E98" s="1" t="n">
        <v>46289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46289</v>
      </c>
      <c r="F99" t="inlineStr">
        <is>
          <t>VÄSTMANLANDS LÄN</t>
        </is>
      </c>
      <c r="G99" t="inlineStr">
        <is>
          <t>NORBERG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45989</v>
      </c>
      <c r="E100" s="1" t="n">
        <v>46289</v>
      </c>
      <c r="F100" t="inlineStr">
        <is>
          <t>VÄSTMANLANDS LÄN</t>
        </is>
      </c>
      <c r="G100" t="inlineStr">
        <is>
          <t>NORBERG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46289</v>
      </c>
      <c r="F101" t="inlineStr">
        <is>
          <t>VÄSTMANLANDS LÄN</t>
        </is>
      </c>
      <c r="G101" t="inlineStr">
        <is>
          <t>NORBERG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46289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46289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46289</v>
      </c>
      <c r="F104" t="inlineStr">
        <is>
          <t>VÄSTMANLANDS LÄN</t>
        </is>
      </c>
      <c r="G104" t="inlineStr">
        <is>
          <t>NORBERG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46289</v>
      </c>
      <c r="F105" t="inlineStr">
        <is>
          <t>VÄSTMANLANDS LÄN</t>
        </is>
      </c>
      <c r="G105" t="inlineStr">
        <is>
          <t>NORBERG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46289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46289</v>
      </c>
      <c r="F107" t="inlineStr">
        <is>
          <t>VÄSTMANLANDS LÄN</t>
        </is>
      </c>
      <c r="G107" t="inlineStr">
        <is>
          <t>NORBERG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46289</v>
      </c>
      <c r="F108" t="inlineStr">
        <is>
          <t>VÄSTMANLANDS LÄN</t>
        </is>
      </c>
      <c r="G108" t="inlineStr">
        <is>
          <t>NORBERG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53030-2023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46289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46289</v>
      </c>
      <c r="F110" t="inlineStr">
        <is>
          <t>VÄSTMANLANDS LÄN</t>
        </is>
      </c>
      <c r="G110" t="inlineStr">
        <is>
          <t>NORBERG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62882-2025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46289</v>
      </c>
      <c r="F111" t="inlineStr">
        <is>
          <t>VÄSTMANLANDS LÄN</t>
        </is>
      </c>
      <c r="G111" t="inlineStr">
        <is>
          <t>NORBERG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46289</v>
      </c>
      <c r="F112" t="inlineStr">
        <is>
          <t>VÄSTMANLANDS LÄN</t>
        </is>
      </c>
      <c r="G112" t="inlineStr">
        <is>
          <t>NORBERG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46014</v>
      </c>
      <c r="E113" s="1" t="n">
        <v>46289</v>
      </c>
      <c r="F113" t="inlineStr">
        <is>
          <t>VÄSTMANLANDS LÄN</t>
        </is>
      </c>
      <c r="G113" t="inlineStr">
        <is>
          <t>NORBERG</t>
        </is>
      </c>
      <c r="I113" t="n">
        <v>22.8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46014</v>
      </c>
      <c r="E114" s="1" t="n">
        <v>46289</v>
      </c>
      <c r="F114" t="inlineStr">
        <is>
          <t>VÄSTMANLANDS LÄN</t>
        </is>
      </c>
      <c r="G114" t="inlineStr">
        <is>
          <t>NORBERG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46289</v>
      </c>
      <c r="F115" t="inlineStr">
        <is>
          <t>VÄSTMANLANDS LÄN</t>
        </is>
      </c>
      <c r="G115" t="inlineStr">
        <is>
          <t>NORBERG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63907-2025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46289</v>
      </c>
      <c r="F116" t="inlineStr">
        <is>
          <t>VÄSTMANLANDS LÄN</t>
        </is>
      </c>
      <c r="G116" t="inlineStr">
        <is>
          <t>NORBERG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32385-2026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46238</v>
      </c>
      <c r="E117" s="1" t="n">
        <v>46289</v>
      </c>
      <c r="F117" t="inlineStr">
        <is>
          <t>VÄSTMANLANDS LÄN</t>
        </is>
      </c>
      <c r="G117" t="inlineStr">
        <is>
          <t>NORBERG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46289</v>
      </c>
      <c r="F118" t="inlineStr">
        <is>
          <t>VÄSTMANLANDS LÄN</t>
        </is>
      </c>
      <c r="G118" t="inlineStr">
        <is>
          <t>NORBERG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63505-2023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45274</v>
      </c>
      <c r="E119" s="1" t="n">
        <v>46289</v>
      </c>
      <c r="F119" t="inlineStr">
        <is>
          <t>VÄSTMANLANDS LÄN</t>
        </is>
      </c>
      <c r="G119" t="inlineStr">
        <is>
          <t>NORBERG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60339-2025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45994</v>
      </c>
      <c r="E120" s="1" t="n">
        <v>46289</v>
      </c>
      <c r="F120" t="inlineStr">
        <is>
          <t>VÄSTMANLANDS LÄN</t>
        </is>
      </c>
      <c r="G120" t="inlineStr">
        <is>
          <t>NORBERG</t>
        </is>
      </c>
      <c r="H120" t="inlineStr">
        <is>
          <t>Kommuner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46289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46289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33483-2026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46289</v>
      </c>
      <c r="F123" t="inlineStr">
        <is>
          <t>VÄSTMANLANDS LÄN</t>
        </is>
      </c>
      <c r="G123" t="inlineStr">
        <is>
          <t>NORBERG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46289</v>
      </c>
      <c r="F124" t="inlineStr">
        <is>
          <t>VÄSTMANLANDS LÄN</t>
        </is>
      </c>
      <c r="G124" t="inlineStr">
        <is>
          <t>NORBERG</t>
        </is>
      </c>
      <c r="I124" t="n">
        <v>22.4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46289</v>
      </c>
      <c r="F125" t="inlineStr">
        <is>
          <t>VÄSTMANLANDS LÄN</t>
        </is>
      </c>
      <c r="G125" t="inlineStr">
        <is>
          <t>NORBERG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36013-2026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46266</v>
      </c>
      <c r="E126" s="1" t="n">
        <v>46289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46289</v>
      </c>
      <c r="F127" t="inlineStr">
        <is>
          <t>VÄSTMANLANDS LÄN</t>
        </is>
      </c>
      <c r="G127" t="inlineStr">
        <is>
          <t>NORBERG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45200</v>
      </c>
      <c r="E128" s="1" t="n">
        <v>46289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46289</v>
      </c>
      <c r="F129" t="inlineStr">
        <is>
          <t>VÄSTMANLANDS LÄN</t>
        </is>
      </c>
      <c r="G129" t="inlineStr">
        <is>
          <t>NORBERG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46289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46099</v>
      </c>
      <c r="E131" s="1" t="n">
        <v>46289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46289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46289</v>
      </c>
      <c r="F133" t="inlineStr">
        <is>
          <t>VÄSTMANLANDS LÄN</t>
        </is>
      </c>
      <c r="G133" t="inlineStr">
        <is>
          <t>NORBERG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46289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41448-2024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46289</v>
      </c>
      <c r="F135" t="inlineStr">
        <is>
          <t>VÄSTMANLANDS LÄN</t>
        </is>
      </c>
      <c r="G135" t="inlineStr">
        <is>
          <t>NORBERG</t>
        </is>
      </c>
      <c r="H135" t="inlineStr">
        <is>
          <t>Bergvik skog väst AB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46108</v>
      </c>
      <c r="E136" s="1" t="n">
        <v>46289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46289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46289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46114</v>
      </c>
      <c r="E139" s="1" t="n">
        <v>46289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46289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45056</v>
      </c>
      <c r="E141" s="1" t="n">
        <v>46289</v>
      </c>
      <c r="F141" t="inlineStr">
        <is>
          <t>VÄSTMANLANDS LÄN</t>
        </is>
      </c>
      <c r="G141" t="inlineStr">
        <is>
          <t>NORBERG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45233</v>
      </c>
      <c r="E142" s="1" t="n">
        <v>46289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45454</v>
      </c>
      <c r="E143" s="1" t="n">
        <v>46289</v>
      </c>
      <c r="F143" t="inlineStr">
        <is>
          <t>VÄSTMANLANDS LÄN</t>
        </is>
      </c>
      <c r="G143" t="inlineStr">
        <is>
          <t>NORBERG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45454</v>
      </c>
      <c r="E144" s="1" t="n">
        <v>46289</v>
      </c>
      <c r="F144" t="inlineStr">
        <is>
          <t>VÄSTMANLANDS LÄN</t>
        </is>
      </c>
      <c r="G144" t="inlineStr">
        <is>
          <t>NORBERG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46289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46289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15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38019-2025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46289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46289</v>
      </c>
      <c r="F148" t="inlineStr">
        <is>
          <t>VÄSTMANLANDS LÄN</t>
        </is>
      </c>
      <c r="G148" t="inlineStr">
        <is>
          <t>NORBERG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45179</v>
      </c>
      <c r="E149" s="1" t="n">
        <v>46289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51790-2024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45607</v>
      </c>
      <c r="E150" s="1" t="n">
        <v>46289</v>
      </c>
      <c r="F150" t="inlineStr">
        <is>
          <t>VÄSTMANLANDS LÄN</t>
        </is>
      </c>
      <c r="G150" t="inlineStr">
        <is>
          <t>NORBERG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56940-2021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44480</v>
      </c>
      <c r="E151" s="1" t="n">
        <v>46289</v>
      </c>
      <c r="F151" t="inlineStr">
        <is>
          <t>VÄSTMANLANDS LÄN</t>
        </is>
      </c>
      <c r="G151" t="inlineStr">
        <is>
          <t>NORBERG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46289</v>
      </c>
      <c r="F152" t="inlineStr">
        <is>
          <t>VÄSTMANLANDS LÄN</t>
        </is>
      </c>
      <c r="G152" t="inlineStr">
        <is>
          <t>NORBERG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19377-2025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45769</v>
      </c>
      <c r="E153" s="1" t="n">
        <v>46289</v>
      </c>
      <c r="F153" t="inlineStr">
        <is>
          <t>VÄSTMANLANDS LÄN</t>
        </is>
      </c>
      <c r="G153" t="inlineStr">
        <is>
          <t>NORBERG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46289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50005-2024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45598</v>
      </c>
      <c r="E155" s="1" t="n">
        <v>46289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45316</v>
      </c>
      <c r="E156" s="1" t="n">
        <v>46289</v>
      </c>
      <c r="F156" t="inlineStr">
        <is>
          <t>VÄSTMANLANDS LÄN</t>
        </is>
      </c>
      <c r="G156" t="inlineStr">
        <is>
          <t>NORBERG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46289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46289</v>
      </c>
      <c r="F158" t="inlineStr">
        <is>
          <t>VÄSTMANLANDS LÄN</t>
        </is>
      </c>
      <c r="G158" t="inlineStr">
        <is>
          <t>NORBERG</t>
        </is>
      </c>
      <c r="H158" t="inlineStr">
        <is>
          <t>Bergvik skog väst AB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44691</v>
      </c>
      <c r="E159" s="1" t="n">
        <v>46289</v>
      </c>
      <c r="F159" t="inlineStr">
        <is>
          <t>VÄSTMANLANDS LÄN</t>
        </is>
      </c>
      <c r="G159" t="inlineStr">
        <is>
          <t>NORBERG</t>
        </is>
      </c>
      <c r="H159" t="inlineStr">
        <is>
          <t>Övriga Aktiebolag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46289</v>
      </c>
      <c r="F160" t="inlineStr">
        <is>
          <t>VÄSTMANLANDS LÄN</t>
        </is>
      </c>
      <c r="G160" t="inlineStr">
        <is>
          <t>NORBERG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46289</v>
      </c>
      <c r="F161" t="inlineStr">
        <is>
          <t>VÄSTMANLANDS LÄN</t>
        </is>
      </c>
      <c r="G161" t="inlineStr">
        <is>
          <t>NORBERG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46142</v>
      </c>
      <c r="E162" s="1" t="n">
        <v>46289</v>
      </c>
      <c r="F162" t="inlineStr">
        <is>
          <t>VÄSTMANLANDS LÄN</t>
        </is>
      </c>
      <c r="G162" t="inlineStr">
        <is>
          <t>NORBERG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46289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46289</v>
      </c>
      <c r="F164" t="inlineStr">
        <is>
          <t>VÄSTMANLANDS LÄN</t>
        </is>
      </c>
      <c r="G164" t="inlineStr">
        <is>
          <t>NORBERG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46289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12.1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21526-2026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46289</v>
      </c>
      <c r="F166" t="inlineStr">
        <is>
          <t>VÄSTMANLANDS LÄN</t>
        </is>
      </c>
      <c r="G166" t="inlineStr">
        <is>
          <t>NORBERG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46289</v>
      </c>
      <c r="F167" t="inlineStr">
        <is>
          <t>VÄSTMANLANDS LÄN</t>
        </is>
      </c>
      <c r="G167" t="inlineStr">
        <is>
          <t>NORBERG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46289</v>
      </c>
      <c r="F168" t="inlineStr">
        <is>
          <t>VÄSTMANLANDS LÄN</t>
        </is>
      </c>
      <c r="G168" t="inlineStr">
        <is>
          <t>NORBERG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46289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46289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46289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46289</v>
      </c>
      <c r="F172" t="inlineStr">
        <is>
          <t>VÄSTMANLANDS LÄN</t>
        </is>
      </c>
      <c r="G172" t="inlineStr">
        <is>
          <t>NORBERG</t>
        </is>
      </c>
      <c r="H172" t="inlineStr">
        <is>
          <t>Övriga Aktiebolag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56400-2025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45974</v>
      </c>
      <c r="E173" s="1" t="n">
        <v>46289</v>
      </c>
      <c r="F173" t="inlineStr">
        <is>
          <t>VÄSTMANLANDS LÄN</t>
        </is>
      </c>
      <c r="G173" t="inlineStr">
        <is>
          <t>NORBERG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25331-2026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46289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46289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46289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46190</v>
      </c>
      <c r="E177" s="1" t="n">
        <v>46289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46289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46247</v>
      </c>
      <c r="E179" s="1" t="n">
        <v>46289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46289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46289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31483-2026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46223</v>
      </c>
      <c r="E182" s="1" t="n">
        <v>46289</v>
      </c>
      <c r="F182" t="inlineStr">
        <is>
          <t>VÄSTMANLANDS LÄN</t>
        </is>
      </c>
      <c r="G182" t="inlineStr">
        <is>
          <t>NORBERG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46289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46268</v>
      </c>
      <c r="E184" s="1" t="n">
        <v>46289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46268</v>
      </c>
      <c r="E185" s="1" t="n">
        <v>46289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46289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46289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46289</v>
      </c>
      <c r="F188" t="inlineStr">
        <is>
          <t>VÄSTMANLANDS LÄN</t>
        </is>
      </c>
      <c r="G188" t="inlineStr">
        <is>
          <t>NORBERG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31967-2026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46232</v>
      </c>
      <c r="E189" s="1" t="n">
        <v>46289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46232</v>
      </c>
      <c r="E190" s="1" t="n">
        <v>46289</v>
      </c>
      <c r="F190" t="inlineStr">
        <is>
          <t>VÄSTMANLANDS LÄN</t>
        </is>
      </c>
      <c r="G190" t="inlineStr">
        <is>
          <t>NORBERG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46233</v>
      </c>
      <c r="E191" s="1" t="n">
        <v>46289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46289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46289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46289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2026-09-24T01:54:47Z</dcterms:created>
  <dcterms:modified xmlns:dcterms="http://purl.org/dc/terms/" xmlns:xsi="http://www.w3.org/2001/XMLSchema-instance" xsi:type="dcterms:W3CDTF">2026-09-24T01:54:47Z</dcterms:modified>
</cp:coreProperties>
</file>